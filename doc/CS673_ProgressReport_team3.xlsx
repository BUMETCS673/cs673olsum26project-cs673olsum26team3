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studentName" sheetId="4" r:id="rId7"/>
    <sheet state="visible" name="Jannatul Tuba" sheetId="5" r:id="rId8"/>
    <sheet state="visible" name="Vy Trinh" sheetId="6" r:id="rId9"/>
    <sheet state="visible" name="Danielle Leask" sheetId="7" r:id="rId10"/>
    <sheet state="visible" name="Yuting Shi" sheetId="8" r:id="rId11"/>
  </sheets>
  <definedNames/>
  <calcPr/>
</workbook>
</file>

<file path=xl/sharedStrings.xml><?xml version="1.0" encoding="utf-8"?>
<sst xmlns="http://schemas.openxmlformats.org/spreadsheetml/2006/main" count="539" uniqueCount="318">
  <si>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</si>
  <si>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</si>
  <si>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</si>
  <si>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</si>
  <si>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</si>
  <si>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</si>
  <si>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</si>
  <si>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</si>
  <si>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</si>
  <si>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</si>
  <si>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</si>
  <si>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</si>
  <si>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</si>
  <si>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</si>
  <si>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</si>
  <si>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</si>
  <si>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</si>
  <si>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</si>
  <si>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</si>
  <si>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</si>
  <si>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</si>
  <si>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</si>
  <si>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</si>
  <si>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</si>
  <si>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05/05/26 – 05/14/26</t>
  </si>
  <si>
    <t>-Successfully completed Lab 1 by merging the lab branch into the main branch through GitHub, resolving conflicts, and finalizing the pull request workflow.
-Finalized the core project concept for an AI-powered test case generation system.
-Established the major functional requirements and initial technical direction for the project.</t>
  </si>
  <si>
    <t xml:space="preserve">-Tech stack selection requiring further group discussion and decision-making.
-Uncertainty in system architecture and AI integration.
</t>
  </si>
  <si>
    <t>-Scheduling conflicts with team members
-Need for clearer role and task distribution across team members.</t>
  </si>
  <si>
    <t>-Assign clear roles and responsibilities to balance workload and improve accountability.
-Address technical difficulties early by researching unfamiliar technologies and
supporting each other when needed.
-Will research AI integration to create a succesfull feature.</t>
  </si>
  <si>
    <t>-</t>
  </si>
  <si>
    <t>05/19/26 – 05/26/26</t>
  </si>
  <si>
    <t xml:space="preserve">-Created 13 user stories for the project backlog
-Set up and configured a Docker container for the application environment
-Began implementing code based on the defined user stories
</t>
  </si>
  <si>
    <t>-Tech stack changed.
- merged code and small errors.</t>
  </si>
  <si>
    <t>-Full team can not make all meetings.</t>
  </si>
  <si>
    <t>-make sure members not able to make meetings are up to date with project and documentations.</t>
  </si>
  <si>
    <t>06/02/26 – 06/09/26</t>
  </si>
  <si>
    <t>Implemented database-backed login and signup, added persistence for users, documents, and generated test cases, completed AI test case generation workflow, improved API documentation, refactored App.jsx into smaller components, updated testing and project documentation.</t>
  </si>
  <si>
    <t>Delays in merging code into the development branch occasionally prevented team members from working with the latest version of the application. Additional coordination was required to resolve merge conflicts and ensure all team members were developing from the most up-to-date codebase.</t>
  </si>
  <si>
    <t>Team scheduling conflicts and coordinating documentation updates</t>
  </si>
  <si>
    <t>Implement password hashing with bcrypt, strengthen authentication security, expand automated testing, improve AI-generated test case quality, continue using GitHub Issues/Jira for tracking, update SPPP/SDD/STD documents.</t>
  </si>
  <si>
    <t>06/09/26 – 06/16/26</t>
  </si>
  <si>
    <t>Project Dashboard feature implementation
Test Case Dashboard feature implementation
User signup functionality implementation
AI integration fixes and improvements
Unit testing implementation
Automated testing for feature branches
CI/CD pipeline setup using GitHub Actions
Docker development and testing environment setup/updates
GitHub Secrets configuration (DB + AI API keys)
Architecture documentation and system diagrams implementation.</t>
  </si>
  <si>
    <t>Fixed AI integration errors affecting test case generation and API communication
Resolved frontend merge conflicts and broken UI components
Fixed failing unit and automated tests after code updates
Addressed Docker and environment configuration issues
Resolved CI/CD pipeline and GitHub Actions deployment errors
Debugged signup flow and backend integration issues
Fixed GitHub Secrets configuration for database and AI API access</t>
  </si>
  <si>
    <t>schedualing conflicts</t>
  </si>
  <si>
    <t>recording presenation seperately and merging it together</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</si>
  <si>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</si>
  <si>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</si>
  <si>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</si>
  <si>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</si>
  <si>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</si>
  <si>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</si>
  <si>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</si>
  <si>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</si>
  <si>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Whole Team</t>
  </si>
  <si>
    <t>Zoom Notes</t>
  </si>
  <si>
    <t>Record meeting minutes to use transcription to help write MM</t>
  </si>
  <si>
    <t>Accepted</t>
  </si>
  <si>
    <t xml:space="preserve">Read through meeting notes to verify correct informatiom.
</t>
  </si>
  <si>
    <t xml:space="preserve">https://docs.google.com/document/d/1VKMt0p_yyI6216RcDZxCCeUSgHodUdSk0It7359BfjA/edit?usp=sharing
</t>
  </si>
  <si>
    <t>Jannutal and Danielle</t>
  </si>
  <si>
    <t>ChatGpt</t>
  </si>
  <si>
    <t>Use recording  to generate meeting notes</t>
  </si>
  <si>
    <t>Added missing discusion after AI tool stopped.
Adjusted formating for document</t>
  </si>
  <si>
    <t xml:space="preserve">https://docs.google.com/document/d/1i1T6fzpv4SElWFe19nGgeJ8hZmWVH-r7q7C1jF9f8GE/edit?usp=sharing </t>
  </si>
  <si>
    <t>https://chatgpt.com/s/t_6a03f0633e088191bc75f1913c8789dd</t>
  </si>
  <si>
    <t>Jannatul</t>
  </si>
  <si>
    <t>Claude</t>
  </si>
  <si>
    <t>Used AI for brainstorming project ideas, exploring functional requirement ideas, and researching different tech stack options to consider all possible solutions and best practices</t>
  </si>
  <si>
    <t>Modified</t>
  </si>
  <si>
    <t>Used AI for, brainstorming functional requirements, and exploring possible tech stack options. The final evaluation, modifications, and implementation decisions were completed based on my own and team understanding and analysis.</t>
  </si>
  <si>
    <t>https://docs.google.com/document/d/1tJ3I1mX9pzt9-2bBYqwhYtitzlVqEQgMhQHcTTdoiJk/edit?usp=sharing</t>
  </si>
  <si>
    <t>Danielle Leask</t>
  </si>
  <si>
    <t>Put notes about meeting in chatGbt to generate the format 
for the meeting notes.</t>
  </si>
  <si>
    <t xml:space="preserve">I put in my breif notes about the meeting minutes and had AI 
generate a format and summary for the notes. I reviewed it before
moving it to the meeting notes </t>
  </si>
  <si>
    <t>Prompt for meeting minutes " &lt;entered notes taking at 
meeting&gt;  generate into a meeting minute format.</t>
  </si>
  <si>
    <t>Copilot</t>
  </si>
  <si>
    <t xml:space="preserve">Create initial login ui code for login page. Page will authenicate with 
MongoDB to verify credentails </t>
  </si>
  <si>
    <t>Review code and add user look and feel details to UI.</t>
  </si>
  <si>
    <t>Prompt in VS code copilot "create a login page that has a username and password and authenticates to mongoDB and after authentication display view page"</t>
  </si>
  <si>
    <r>
      <rPr>
        <rFont val="Arial"/>
        <sz val="10.0"/>
      </rPr>
      <t xml:space="preserve">Creating a </t>
    </r>
    <r>
      <rPr>
        <rFont val="Arial"/>
        <color rgb="FF1155CC"/>
        <sz val="10.0"/>
        <u/>
      </rPr>
      <t>speccheck_plan.md</t>
    </r>
    <r>
      <rPr>
        <rFont val="Arial"/>
        <sz val="10.0"/>
      </rPr>
      <t xml:space="preserve"> for help with AI management 
for project.</t>
    </r>
  </si>
  <si>
    <t>Copilot creates md file for project plan to help with AI generation. 
This is to help AI understand all parts of the project.</t>
  </si>
  <si>
    <t>given the current project create a &lt;projectName&gt;_plan.md</t>
  </si>
  <si>
    <t>ChatGPT was used to refine the original bullet-point UI requirements into a structured paragraph format for better clarity and consistency in the Software Design Document. It was also used to generate a prompt for creating a realistic UI mockup in Figma.</t>
  </si>
  <si>
    <t>The UI design section was reviewed and revised to ensure consistency with the project requirements and overall system design.</t>
  </si>
  <si>
    <t>I provided ChatGPT with a bullet-point outline of the system’s UI screens and features. I then prompted it to convert this information into a structured paragraph format suitable for a Software Design Document UI design section.</t>
  </si>
  <si>
    <t>Figma</t>
  </si>
  <si>
    <t>Figma was used to create UI mockups for the SpecCheck application based on the refined requirements and generated prompt. The mockups visually represent the main screens and overall user flow, ensuring a consistent and clear interface design across the system.</t>
  </si>
  <si>
    <t>Viewed generate mock UI to make sure it aligns with project features.
The color scheme and visual styling will be refined in later versions.</t>
  </si>
  <si>
    <t>https://www.figma.com/make/VluQL2XZtEo5HwY7V3W2pH/SpecCheck-Web-App-UI-Design?t=D0iCkP5I8inE92wr-20&amp;fullscreen=1</t>
  </si>
  <si>
    <t>generated logo for team</t>
  </si>
  <si>
    <t>Informed chatgpt about the project idea and team and ask to generate logo.
I did crop the image for less detail</t>
  </si>
  <si>
    <t>Prompted chatgpt for meeting minutes by entering discription of notes taken by me and ask chatgbt to summarize and format</t>
  </si>
  <si>
    <t>Vy Trinh</t>
  </si>
  <si>
    <t>chatGPT</t>
  </si>
  <si>
    <t>Used AI to refine SPPP, SDD, user stories, class diagrams, iteration planning, and software documentation for the AI Test Case Generator project. Also used AI assistance to brainstorm architecture design, security considerations, testing workflow, and Jira defect management process.</t>
  </si>
  <si>
    <t>All generated content was reviewed, edited, and validated manually to ensure consistency with project requirements, software engineering standards, and team implementation decisions. Security workflows and documentation structures were adjusted based on team discussion and project scope.</t>
  </si>
  <si>
    <t>Prompted ChatGPT to refine SPPP and SDD sections, generate functional requirements, iteration planning, UML/class diagram structures, and defect management descriptions. AI-generated outputs were manually reviewed and modified before inclusion in the final project documentation.</t>
  </si>
  <si>
    <t>ChatGPT</t>
  </si>
  <si>
    <t>Used AI to help design defect management workflow, severity levels, release planning, and iteration task breakdown for project management documentation.</t>
  </si>
  <si>
    <t>The workflow and severity classifications were reviewed by the team and integrated into the final project documentation with minor formatting updates.</t>
  </si>
  <si>
    <t>Prompted ChatGPT to generate Jira defect workflow descriptions, severity levels, release planning details, and testing metrics examples. Outputs were revised to match the team’s software process and implementation strategy.</t>
  </si>
  <si>
    <t>Jannatul Tuba</t>
  </si>
  <si>
    <t xml:space="preserve"> 5./20/206</t>
  </si>
  <si>
    <t xml:space="preserve">Used claude code to understand project structure
</t>
  </si>
  <si>
    <t>Just got understanding of the project</t>
  </si>
  <si>
    <t xml:space="preserve">Help me understand the project structure, design pattern </t>
  </si>
  <si>
    <t xml:space="preserve"> 5./21/206</t>
  </si>
  <si>
    <t xml:space="preserve">Used claude code to build test automation framworks with human modification
</t>
  </si>
  <si>
    <t>Modifined the configuration based on some  our requirments, reporting, headed mode</t>
  </si>
  <si>
    <t>Create a playwright framwork in bdd format with python. it should also generate reports</t>
  </si>
  <si>
    <t xml:space="preserve"> 5./22/206</t>
  </si>
  <si>
    <t xml:space="preserve">Used claude to generate  manual test report template
</t>
  </si>
  <si>
    <t>Based on this project create a manual test report tempate with steps for dashboard feature</t>
  </si>
  <si>
    <t xml:space="preserve"> 5./23/206</t>
  </si>
  <si>
    <t xml:space="preserve">Used claude to do some formatting for presenation slides
</t>
  </si>
  <si>
    <t>Format this presantion slides based on the existing  slides from the presantion</t>
  </si>
  <si>
    <t xml:space="preserve">Used Jira rovo agent to add subtask after I provided the subtask list
</t>
  </si>
  <si>
    <t>created subtask from list</t>
  </si>
  <si>
    <t>add this subtasks list in this story ( i provided subtask list)</t>
  </si>
  <si>
    <t xml:space="preserve"> 5./24/206</t>
  </si>
  <si>
    <t xml:space="preserve">Used claude code for troubleshotting project run </t>
  </si>
  <si>
    <t>resolved project running issue</t>
  </si>
  <si>
    <t>getting can not connect to server error. how do we fix it</t>
  </si>
  <si>
    <t>copilot,claude,chatGpt</t>
  </si>
  <si>
    <t>setting up session manager</t>
  </si>
  <si>
    <t>Edited and tested instructions</t>
  </si>
  <si>
    <t>ask for step on creating session manager and askking what files need to be modified</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</si>
  <si>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</si>
  <si>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</si>
  <si>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</si>
  <si>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</si>
  <si>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</si>
  <si>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</si>
  <si>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</si>
  <si>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</si>
  <si>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</si>
  <si>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</si>
  <si>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</si>
  <si>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</si>
  <si>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updated the Configuration Management Plan and Quality Assurance Plan,
 including adding metrics and defining the code review process.</t>
  </si>
  <si>
    <t>Jira story (user story and acceptance story) for login and registration.</t>
  </si>
  <si>
    <t>add the design UI section</t>
  </si>
  <si>
    <t>Review documentation</t>
  </si>
  <si>
    <t>Iteration 0 - slides and Video &amp; final presentation slides and video and demo</t>
  </si>
  <si>
    <t>Generated code for login and authentication page, password complexity, and session manager</t>
  </si>
  <si>
    <t>funcation tested login/logout and authenitication on local branch and development branch, automated testing for registration</t>
  </si>
  <si>
    <t>I stayed active on Discord to keep up with the team and make sure I knew what everyone was working on. I attended class and QA sessions, shared important updates from the professor, helped clarify team roles, and reminded everyone about upcoming labs and discussion boards.</t>
  </si>
  <si>
    <t>Served as Team Leader and Requirements Lead for the project. Updated key project documentation and contributed to Jira user stories, UI design, authentication implementation, and team coordination.</t>
  </si>
  <si>
    <t>added the Code Commit Guidelines, Git Branching Strategy, Testing plan (timeline, assignee, and test types),
 and Defect Management details (including severity levels). 
She also contributed to the Related Work and Functional Requirements sections.</t>
  </si>
  <si>
    <t>jira story for logout, test dashboard, delete and archieve test cases and created class diagram</t>
  </si>
  <si>
    <t xml:space="preserve">Reviewed SDD document. </t>
  </si>
  <si>
    <t xml:space="preserve">Added Automation testing Report, Frameworks details , Architecture, Updated Test Matrics Result.
Made small change in test management mockup, added unit teting, automation report
</t>
  </si>
  <si>
    <t>Iteration 0 - slides
Iteration 1 - testing slides/
Iteration 1 presenting testing</t>
  </si>
  <si>
    <t>Updated git workflow with latest workflow</t>
  </si>
  <si>
    <t>Build test automat framwork with python, playwright, bdd
Implemented 22 test automation test cases</t>
  </si>
  <si>
    <t>Peformed code review
Created Release note</t>
  </si>
  <si>
    <t>Communicated with team on Discord and partisipated in dissucions durring meeting. Helped team with GitHub merging and making sure team has iteration 1 completed and turned in on time. Reviewed documentation and worked on STD.</t>
  </si>
  <si>
    <t>Served as QA Lead and Configuration Lead for the project, building and maintaining an automated testing framework. Led testing activities, managed GitHub workflows, supported Jira story creation, and contributed to reporting, documentation, and project presentations.</t>
  </si>
  <si>
    <t>updated the Essential Features, Nonfunctional Requirements, Management Plan (priorities), and the Testing section.
Added most sections to the SDD document.</t>
  </si>
  <si>
    <t>Yuting Shi</t>
  </si>
  <si>
    <t>completed the Coding Standards section and the Code Review Process section</t>
  </si>
  <si>
    <t>Jira user stories for project management dashboard</t>
  </si>
  <si>
    <t xml:space="preserve">Reviewed SDD and updated </t>
  </si>
  <si>
    <t xml:space="preserve">Reviewed document </t>
  </si>
  <si>
    <t>Readme.md, project dashboard features</t>
  </si>
  <si>
    <t>added automated test cases for projects page</t>
  </si>
  <si>
    <t>Used Discord to keep in touch with teammates, attended meetings</t>
  </si>
  <si>
    <t>Updated the Essential Features, Nonfunctional Requirements, Management Plan (priorities), Testing Plan, Defect Management section, release planning, iteration planning, and AI management documentation. Added detailed revisions and requirement clarifications throughout the SPPP document.</t>
  </si>
  <si>
    <t>Helped analyze and refine functional/non-functional requirements, user stories, acceptance criteria, and iteration task breakdowns on PivotalTracker/Jira.</t>
  </si>
  <si>
    <t>Created and refined class diagrams with multiplicities, system architecture descriptions, UI workflow descriptions, database relationships, and detailed SDD sections for the AI Test Case Generator project.</t>
  </si>
  <si>
    <t>Added testing metrics, defect severity levels, test strategy, and AI output validation documentation.</t>
  </si>
  <si>
    <t>Iteration 1 - slides/
iteration 1 presenting design</t>
  </si>
  <si>
    <t>Contributed to frontend/backend planning, AI workflow design, authentication flow planning, export workflow structure, and implementation guidance for AI interaction modules.</t>
  </si>
  <si>
    <t>Coordinated team discussions, reviewed project documents, answered professor feedback/comments, organized requirement revisions, and helped align documentation and implementation decisions across the team.</t>
  </si>
  <si>
    <t>Served as Design &amp; Implementation Lead and Security Lead for the project. Focused on AI workflow design, software documentation refinement, testing process management, and system architecture planning.</t>
  </si>
  <si>
    <t>updated in team meeting</t>
  </si>
  <si>
    <t>reviewed document</t>
  </si>
  <si>
    <t>implemented registration code and pytest for login</t>
  </si>
  <si>
    <t>built login pytest and manual test for login, logout, and registration</t>
  </si>
  <si>
    <t>attend team meeting and reviewed documents and communicate with team members on discord.</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</si>
  <si>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</si>
  <si>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</si>
  <si>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</si>
  <si>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</si>
  <si>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</si>
  <si>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</si>
  <si>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</si>
  <si>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</si>
  <si>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</si>
  <si>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</si>
  <si>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</si>
  <si>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</si>
  <si>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</si>
  <si>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</si>
  <si>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</si>
  <si>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</si>
  <si>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</si>
  <si>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</si>
  <si>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</si>
  <si>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</si>
  <si>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</si>
  <si>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rPr>
      <t>Your Lead Roles</t>
    </r>
    <r>
      <rPr>
        <rFont val="Arial"/>
      </rPr>
      <t>: QA and Configartion Lead</t>
    </r>
  </si>
  <si>
    <t>5/5/2026 - 5/13/2026</t>
  </si>
  <si>
    <t>0 - learning open ai/claude api use
1 - define high level functional requirment
5 - project plan, brainstorming with teamate for project plan
6 - Setup github, 
7 -  related work reearch, slide creation</t>
  </si>
  <si>
    <t>Used Claude to conduct project research, brainstorm functional requirement ideas, and research potential tech stacks in order to evaluate all possible options.
Used Zoom note and chatgpt for converting meeting transcript into meeting minuts</t>
  </si>
  <si>
    <r>
      <rPr/>
      <t xml:space="preserve">1. Added Related work and Functional Requirements
2. Updated with details for Code Commit Guideline and Git Branching Strategy, Testing (timeline,assignee,type), Defect Management(severity) 
3. During Group meeting we have also worked toghther for risk management, overview, configuration management, tech stack, 
4. Worked on Iteration 0 Presenations Slides
5. Setup github project for team
6. created </t>
    </r>
    <r>
      <rPr>
        <color rgb="FF1155CC"/>
        <u/>
      </rPr>
      <t>team.md</t>
    </r>
    <r>
      <rPr/>
      <t xml:space="preserve"> file for team and worked on merging after everyone update
7. Worked on creating branch for iteration 1 docs and approving once docs are uploaded
</t>
    </r>
  </si>
  <si>
    <t>1. Not familair much with claude/chatgrpt ai implementation and Docker . Also need to refresh my mind for Django</t>
  </si>
  <si>
    <t>1. finish Django tutorial in 2 weeks
2. Finish Docker learning by 2 week
3. Continue learning ai implementation with claude/chatgpt ai
4. Course work</t>
  </si>
  <si>
    <t>0 - continue to learn Django
1 - continue to define requirements
3- Docker Setup
4. Continue learning OpenAI/claude ai</t>
  </si>
  <si>
    <t>5/14/2026 -5/25/2026</t>
  </si>
  <si>
    <t>Individual Task Breakdown
0 - learning docker
1 - requirement analysis 
2 - design test automation framework, design class diagram for test management dashboard, logout, 
3 - implementation 22 test automation test cases
4 - test performed manual and test automation
5 - communication/management 
6 - configuration/environment merged and reviewed pr and created releases
7 - troubleshooting</t>
  </si>
  <si>
    <t xml:space="preserve">Used claude code to understand project structe
Used claude code to build test automation framworks with human modification
Used claude to generate  manual test report template
Used claude to do some formatting for presenation slides
Used Jira rovo agent to add subtask after I provided the subtask list
Used claude code for troubleshotting project run </t>
  </si>
  <si>
    <t>1. Build test automat framwork with python, playwright, bdd
2. Implemented 22 test automation test cases
3. Updated git workflow with latest workflow and reviewed this SDD document, made small change in test management mockup
4. Added Automation testing Report, Frameworks details , Architecture, Updated Test Matrics Result 
5. Did requriemnts analysis and added jira story for logout, test dashboard, delete and archieve test cases and created class diagram
7. Peformed code review
8. Created Release note
9. learned the class lectures
10. worked on presenation
11. worked on presantation slide testing portion</t>
  </si>
  <si>
    <t xml:space="preserve">1.  I was travleing boston for my commentcemnt cerymoney. so the first week i missed the group meeting and class. So I had hard time catching up, But now I am upto speed on the 2nd week of iteration 1
</t>
  </si>
  <si>
    <t>1. Implement test management darshboard for our application
2. Setup test automaton docker container
3. Work on testing and implmentation</t>
  </si>
  <si>
    <t>1. Implement test management darshboard for our application
2. Setup test automaton docker container
3. Work on testing and implmentation
4. learn class leactures</t>
  </si>
  <si>
    <t>5/26/2026-6/08/2026</t>
  </si>
  <si>
    <t>Individual Task Breakdown
0 - learning github action
1 - requirement analysis for test case dashboard
2 - design test case dashboard
3 - implementation test case dashboard
4 - test automation implemnetaton for test case dasboard and  fix existing test cases based on recent code change
5 - communication/management
6 - configuration/environment- githuba action ci/cd setup, github secret setup for db and ai api
7 - unclassified</t>
  </si>
  <si>
    <t>Used claude code to understand project structere
Used claude code to add new test cases and fix test automation 
Used claude to generate  manual test cases
Used claude to do some formatting for presenation slides
Used claude code for troubleshotting project run 
Used claude code for github action setup steps</t>
  </si>
  <si>
    <t>1. setup github action for ci/cd testing
2. setup db and ai ap with github actions
3. fixed existing test automation test cases and updated framwork based on project latest change
4.worked on manual testing for test case generation, management, project creation
5.implementated test automation for test case management
8. updated std document
9.collaborated with team mates while  updating existing project documents</t>
  </si>
  <si>
    <t>1. code implementation and conflicts resolve finish day before submission. did not had much time to work on implemenation
2. had major code changes which broke all test automation as ui code got changed</t>
  </si>
  <si>
    <t>1. work on for testing
2. update test case managment dashbaord
3. live website setup.
4. learn course materials</t>
  </si>
  <si>
    <t>6/09/2026-6/17/2026</t>
  </si>
  <si>
    <t>Individual Task Breakdown
0 - learning class lecture and render for deployment
1 - requirement analysis for test case dashboard
2 - updating design test case dashboard
3 - implemntating unit test in the framwork
4 - test automationfix existing test cases based on recent code change and implementing unit testing
5 - communication/management
6 - configuration/environment- githuba action ci/cd setup, github secret setup for db and ai api
7 - troubleshooting, resolving conflicts</t>
  </si>
  <si>
    <t>Used claude code to understand project structere
Used claude code to add new test cases and fix test automation 
Used claude to generate  manual test cases
Used claude to do some formatting for presenation slides
Used claude code for troubleshotting project run 
Used claude code for github action setup steps
Resolving conflicts
Used claude code to implemnt unit test
Used Clause code to setup render</t>
  </si>
  <si>
    <t xml:space="preserve">1. Setup Render for live website deployment
2. Worked on 162 unit test
3. Worked on merging and resolving conflicts for most branches
4. Updated test automation (playwirght code with latest fix)
5. Fixed UI issue for test case mangement search
6. helped troubleshooting teammates while working on the project
7. Updated documents STD and reviewd other document
8. Worked on code review
9. worked on testing
10. Reviewd professor feedback and updated testing
11. worked on presantion slides and presantion
12.Release deployment
</t>
  </si>
  <si>
    <t>1 Last minute code change happening and feature implementation which is causing not enough time for testing and conflicts,delay for presantion</t>
  </si>
  <si>
    <t>n/a last iteration</t>
  </si>
  <si>
    <r>
      <rPr>
        <rFont val="Arial"/>
        <b/>
        <sz val="10.0"/>
      </rPr>
      <t>Your Lead Roles</t>
    </r>
    <r>
      <rPr>
        <rFont val="Arial"/>
        <sz val="10.0"/>
      </rPr>
      <t>: Design and implementation lead &amp; Security Lead</t>
    </r>
  </si>
  <si>
    <t>5/5/26-5/13/26</t>
  </si>
  <si>
    <t>0 - learning Django architecture, MongoDB security, OpenAI API integration .1 - define system design and implementation requirements.  2 - design backend architecture, database schema, authentication flow. 3 - implement GitHub repository setup, project structure, Django setup. 4 - review security risks and authentication protections. 5 - team meetings and project discussion. 6 - setup GitHub branch strategy and development environment. 7 - research AI-based testing systems and vector database approaches</t>
  </si>
  <si>
    <t>Used ChatGPT and Claude to research Django architecture, AI integration approaches, MongoDB security practices, authentication design, and project planning. AI tools were also used to brainstorm software architecture ideas and improve project documentation.</t>
  </si>
  <si>
    <t>1. Designed initial backend architecture and authentication flow 2. Created implementation plan and GitHub workflow strategy 3. Helped define security requirements and risk management process 4. Participated in project planning and technical design discussions</t>
  </si>
  <si>
    <t>1. Limited experience integrating AI APIs with Django 2. Security implementation requirements are still being researched 3. Team is still learning MongoDB and deployment workflows</t>
  </si>
  <si>
    <t>1. Continue learning Django and AI integration 2. Research authentication and API security best practices 3. Finalize backend architecture and database design 4. Support teammates with implementation setup</t>
  </si>
  <si>
    <t>1. Continue Django backend implementation 2. Setup authentication and user management system 3. Research vector database integration 4. Continue improving security design and deployment planning</t>
  </si>
  <si>
    <t>5/12/26-5/18/26</t>
  </si>
  <si>
    <t>0 - researched AI workflow architecture, MongoDB security, vector database concepts
1 - refined functional requirements, user stories, and AI test generation workflow
2 - designed class diagrams, authentication flow, security workflow, document upload workflow, and knowledge indexing architecture
3 - implemented document upload workflow, AI grounding/context awareness logic planning, and backend integration structure
4 - reviewed generated outputs and tested upload/indexing workflow manually
5 - participated in project meetings, requirement clarification, and team coordination
6 - researched deployment workflow, GitHub process, and security best practices</t>
  </si>
  <si>
    <t>Used ChatGPT and Claude to research Django architecture, AI integration workflows, MongoDB security practices, authentication design, software architecture ideas, UML design, testing workflow, and software documentation refinement. AI tools were also used to brainstorm implementation approaches and improve requirement clarity.</t>
  </si>
  <si>
    <t>1. Designed document upload, and AI workflow architecture
2. Helped implement document upload and knowledge indexing workflow
3. Contributed to AI grounding and context awareness system planning
4. Refined SPPP and SDD documentation sections
5. Created class diagram structure and security workflow ideas
6. Helped define testing strategy and defect management process
7. Participated in implementation planning and technical design discussions</t>
  </si>
  <si>
    <t>1. Continue researching Django/Node.js AI integration workflows
2. Research authentication and API security best practices
3. Finalize backend architecture and database structure
4. Support teammates with implementation setup and documentation updates</t>
  </si>
  <si>
    <t>1. Continue backend and AI integration implementation
2. Improve authentication and user management workflow
3. Research vector database integration
4. Continue refining SDD/SPPP/STD documents
5. Begin testing workflow implementation</t>
  </si>
  <si>
    <t>5/19/26-5/25/26</t>
  </si>
  <si>
    <t>1 - refined functional/non-functional requirements and AI generation workflow
2 - updated SDD diagrams, multiplicities, UI workflow, AI grounding workflow, and architecture sections
3 - contributed implementation code for document upload, knowledge indexing, context-aware AI workflow, and backend integration planning
4 - reviewed AI-generated outputs and testing documentation process
5 - coordinated project discussions and responded to professor feedback
6 - refined defect management, release workflow, deployment planning, and security design</t>
  </si>
  <si>
    <t>Used ChatGPT to refine software engineering documentation, generate UML/class diagram ideas, improve defect management descriptions, generate testing workflow ideas, and brainstorm UI architecture and AI interaction workflow. Outputs were manually reviewed and revised before use.</t>
  </si>
  <si>
    <t>1. Updated SPPP, SDD, and STD documentation
2. Added class diagrams with multiplicities and architecture refinements
3. Helped implement document upload and knowledge indexing functionality
4. Contributed to AI grounding and context-aware response workflow
5. Helped define Jira defect management workflow and severity levels
6. Assisted iteration planning and release planning
7. Improved testing metrics and QA documentation</t>
  </si>
  <si>
    <t>1. Integrating AI-generated outputs consistently
2. Maintaining alignment between implementation and documentation
3. Finalizing deployment workflow and environment configuration</t>
  </si>
  <si>
    <t>1. Continue testing AI workflow reliability
2. Synchronize documentation with implementation progress
3. Finalize deployment and configuration workflow
4. Continue refining security and authentication design</t>
  </si>
  <si>
    <t>1. Continue frontend/backend implementation support
2. Improve AI test generation workflow
3. Refine testing and QA process
4. Continue deployment planning and security improvements</t>
  </si>
  <si>
    <t>5/26/26-6/01/26</t>
  </si>
  <si>
    <t>2 – Refined software architecture and database design
3 – Implemented login/logout system connected to database
3 – Developed document upload and persistence features
3 – Integrated AI test case generation workflow
5 – Team meetings and project coordination
6 – Docker configuration and environment setup</t>
  </si>
  <si>
    <t>Used ChatGPT and Claude to research authentication design, database persistence approaches, prompt engineering techniques, AI test generation workflows, and software architecture recommendations</t>
  </si>
  <si>
    <t>1. Completed login/logout implementation
2. Added database persistence for user data and uploaded documents
3. Integrated AI test case generation backend
4. Updated API documentation
5. Refactored frontend architecture</t>
  </si>
  <si>
    <t>1. AI integration conflicts with existing UI components
2. Database persistence implementation challenges
3. Docker environment inconsistencies</t>
  </si>
  <si>
    <t>Resolved UI conflicts and continued testing AI integration. Improved database connectivity and deployment configuration</t>
  </si>
  <si>
    <t>1. Complete signup system
2. Improve authentication security
3. Continue AI workflow enhancements
4. Review professor feedback</t>
  </si>
  <si>
    <t>6/2/26-6/8/26</t>
  </si>
  <si>
    <t>2 – Reviewed professor feedback and requirements
2 – Updated SDD, SPPP, STD documents
3 – Fixed AI integration issues and frontend conflicts
3 – Continued signup implementation
3 – Added architecture documentation and diagrams
5 – Team communication and planning
6 – Docker/testing environment updates</t>
  </si>
  <si>
    <t>Used ChatGPT to analyze professor feedback, generate architecture documentation ideas, improve SDD content, refine API documentation, troubleshoot AI integration issues, and assist with diagram planning</t>
  </si>
  <si>
    <t>1. Updated SDD, SPPP, and STD documentation
2. Added high-level architecture diagrams
3. Improved AI integration with frontend workflow
4. Updated project reports and iteration documentation
5. Reviewed security and authentication improvements</t>
  </si>
  <si>
    <t>1. Test automation failures after AI integration
2. Environment variable configuration required for AI services
3. Signup functionality not fully completed</t>
  </si>
  <si>
    <t>Authentication and AI integration are mostly completed. Remaining work includes signup completion, test automation fixes, password hashing, and additional testing</t>
  </si>
  <si>
    <t>1. Complete signup functionality
2. Implement password hashing (bcrypt)
3. Fix automated test execution
4. Improve architecture diagrams and documentation
5. Conduct integration testing</t>
  </si>
  <si>
    <t>5/9/26-5/16/26</t>
  </si>
  <si>
    <t>1 – Analyzed requirements for Human-in-the-Loop review workflow, AI peer review process, and impact analysis features.
2 – Designed review screen workflow, AI evaluation architecture, authentication improvements, and impact analysis interaction model.
3 – Implemented HITL review process, AI peer review integration, JWT authentication, bcrypt password hashing, impact analysis dashboard, search enhancements, and UI improvements.
4 – Conducted integration testing, authentication testing, AI workflow validation, and frontend unit test updates.
5 – Team discussions, requirement clarification, code reviews, and progress synchronization.
6 – Environment configuration, JWT secret management, migration script setup, and deployment preparation.</t>
  </si>
  <si>
    <t>Used ChatGPT and Claude to review authentication best practices, JWT implementation approaches, bcrypt integration, prompt engineering for AI evaluation, impact analysis design ideas, frontend workflow improvements, and test generation quality assessment. AI tools also assisted with code troubleshooting, UI refinement suggestions, and documentation updates. All outputs were manually reviewed and adapted before implementation.</t>
  </si>
  <si>
    <t>1. Implemented Human-in-the-Loop review workflow with draft generation and approval process.
2. Added AI Peer Review system with quality scoring and feedback generation.
3. Developed Interactive Impact Analysis dashboard with feature-to-test-case highlighting.
4. Enhanced AI test generation context by incorporating existing test cases.
5. Improved search functionality with ID lookup and multi-keyword filtering.
6. Implemented bcrypt password hashing and JWT-based authentication.
7. Added authentication middleware to protect sensitive APIs.
8. Created migration script for existing user password conversion.
9. Improved UI usability with badges, button updates, and layout fixes.
10. Updated frontend unit tests and integration testing coverage.</t>
  </si>
  <si>
    <t>1. AI evaluation scores occasionally vary between similar inputs.
2. Impact analysis accuracy depends on document quality and completeness.
3. Authentication migration required handling existing plain-text passwords.
4. Frontend review workflow required significant state management refactoring.</t>
  </si>
  <si>
    <t>1. Continue refining AI prompts and evaluation consistency.
2. Improve document retrieval and feature extraction accuracy.
3. Complete authentication regression testing and security review.
4. Optimize frontend workflow and reduce complexity in state management.</t>
  </si>
  <si>
    <t>1. Conduct end-to-end testing of complete AI generation and review workflow.
2. Improve impact analysis accuracy and requirement coverage detection.
3. Refine AI evaluation prompts and quality metrics.
4. Perform security testing and authentication validation.
5. Fix remaining UI/UX issues and improve system stability.
6. Prepare iteration demonstration and project documentation updates.</t>
  </si>
  <si>
    <r>
      <rPr>
        <rFont val="Arial"/>
        <b/>
      </rPr>
      <t>Your Lead Roles</t>
    </r>
    <r>
      <rPr>
        <rFont val="Arial"/>
      </rPr>
      <t>: Team Lead, Requirement Lead</t>
    </r>
  </si>
  <si>
    <t>5/5/26-5/11/26</t>
  </si>
  <si>
    <t>0- Course material, learn devops practices and documentation materal
1-determine risk management, update SPPP
5- determine project, assign roles,meeting minutes.
7., research management plan,Code Commit Guideline Branches, quality assuance plan, Lab 1</t>
  </si>
  <si>
    <t>Use Zoom Notes to record our meetings and used Copilot to format transcription in notes format.</t>
  </si>
  <si>
    <t xml:space="preserve">1. Write overview of project in SPPP.
2. Write meeting minutes.
3. Write Risk Management summary for high risk
4. Research Git Branching Strategy,
CI/CD Plan,Quality Assurance Plan  </t>
  </si>
  <si>
    <t>1.Needed more clarification on group product.
2. Never used the GitHub application.</t>
  </si>
  <si>
    <t>1.Team meeting went into detail to understand project.
2. Team did an example to commit work to GitHub.</t>
  </si>
  <si>
    <t>0- Course material, learn devops practices and documentation materal
1-update SPPP, create Iteration 0 slides, iteration 0 presentation.
Created user stories and acceptance tests for authentication
5-disscuss project CI/CD and framework, and meeting minutes.
6 : Installed Docker and set up tools for the project(lab2)
7.Lab 1</t>
  </si>
  <si>
    <t>Used AI to help with Jira setup
 and assist with Docker.</t>
  </si>
  <si>
    <t>1. Set up Jira board with authentication user stories and acceptance criteria.
2. Reviewed SPPP and collaborated on creating Iteration 0 slides.
3. Presented for Iteration 0.
4. Created authentication user stories and acceptance tests in Icebox.
5. Contributed to Meeting 4 minutes.</t>
  </si>
  <si>
    <t>I had no prior experience with Jira Scrum boards or Docker,
 so I had to research and learn how to insert filters and manage tasks in Jira. 
As well as understand how Docker is used to set up and run applications.</t>
  </si>
  <si>
    <t>Research system operations and learned about Jira and docker</t>
  </si>
  <si>
    <t xml:space="preserve">0: Learned model 3 class materials
1 : SDD document - Design UI section, review STD, uploaded document to project
2: create mock UI design using Figma
3: Built the login UI and authentication code ( had to redo because of tech stack change)
4  Functionally tested the UI login page (e.g., wrong password handling and page refresh behavior) on local branch and development
5 : Created and organized the Jira board / check in meeting, attened team meetings
7: created team logo, helped merge code into development 
</t>
  </si>
  <si>
    <t>ChatGPT, GitHub Copilot, and Figma were used to support UI design, documentation, and frontend development throughout the project. They helped improve efficiency, consistency, and visual quality, with all outputs reviewed and refined to ensure alignment with the system requirements.
Also used chatGPT to generate a team logo. This was helpful to save time for coding and documentation.</t>
  </si>
  <si>
    <t>1. Modified and created mock UI for SDD Design UI section.
2.Built and modified login UI using Copilot-generated code.
3.Implemented authentication functionality.
4.Tested login page (invalid password and refresh behavior).
5. Created team logo.</t>
  </si>
  <si>
    <t>1.I am very new to coding in python. I will need to make sure I am useing best pratices and testing my work.
2. Tech stack changed at the end of week and I am needing to redo already implemented code.</t>
  </si>
  <si>
    <t>1.Used copilot to gernate code. I will modifiy and test code to make sure it is working properly.
2. Make sure team is on the same page about tech stack and requirements.</t>
  </si>
  <si>
    <t xml:space="preserve">0: Learned model 4 class materials
1 : document - update
4  Python automation testing for registration feature
5 : Created and organized the Jira board / check in meeting, attened team meetings
7: helped merge code into development 
</t>
  </si>
  <si>
    <t>helped with meeting minute and help with automation testing,</t>
  </si>
  <si>
    <t>1.Applied Iteration 1 feedback and updated project documentation.
2.Created and executed login tests using pytest-bdd and Playwright.
3.Designed BDD feature files and step definitions for automated testing.
4.Debugged and resolved failing automated tests.
5.Managed Jira board updates and sprint tracking.
6.Participated in team meetings and sprint planning.</t>
  </si>
  <si>
    <t>My first time doing pytest.</t>
  </si>
  <si>
    <t>Research and learn how to do pytest. Also use copilot to help test my ideas.</t>
  </si>
  <si>
    <t>6/2/26-5/8/26</t>
  </si>
  <si>
    <t xml:space="preserve">0: Learned model 5 class materials
1 : document - update
4  Python automation testing for registratio and logout feature. Manual testing for login, logout, and registration.
5 : Created and organized the Jira board / check in meeting, attened team meetings
7: helped merge code into development 
</t>
  </si>
  <si>
    <t xml:space="preserve">meeting minutes, automation testing </t>
  </si>
  <si>
    <t>1.Created and executed registration tests using pytest-bdd and Playwright.
2. create and executed manual tests.
3..Managed Jira board updates and sprint tracking.
5.Participated in team meetings and sprint planning.
6. review and update documents</t>
  </si>
  <si>
    <t>development branch is not update to date to add code to. conflicts in merge code and waiting for development to be up to date to merge my code and create new tests.</t>
  </si>
  <si>
    <t>check in with team to make sure development is always up to date</t>
  </si>
  <si>
    <t xml:space="preserve">0: Learned model 6 class materials
1 : document - update 3. Impleneted the password compexity and registration an session manager
4  Python automation testing for registratio and logout feature. Manual testing for login, logout, and registration.
5 : Created and organized the Jira board / check in meeting, attened team meetings
7: helped merge code into development, final presentation and demo
</t>
  </si>
  <si>
    <t xml:space="preserve">meeting minutes, automation testing, password complexity help, session manager set up </t>
  </si>
  <si>
    <t>1.password complexity. 2.session manager implentation. 3. review and update documents.4.participated in team meeting</t>
  </si>
  <si>
    <t xml:space="preserve">Learning how to set up the session manager </t>
  </si>
  <si>
    <t>error with merging session manager. Also duplicate work with creating registration page.</t>
  </si>
  <si>
    <t>N/A</t>
  </si>
  <si>
    <r>
      <rPr>
        <rFont val="Arial"/>
        <b/>
      </rPr>
      <t>Your Lead Roles</t>
    </r>
    <r>
      <rPr>
        <rFont val="Arial"/>
      </rPr>
      <t>: Backup Project Leader, requirement leader</t>
    </r>
  </si>
  <si>
    <t>Individual Task Breakdown
0 - caught up on Module 1
1 -  read project requirements, went through google folder, discussed how our project will cover the requirements
2 - decided on tech stack, discussing infrastructure for project
3 - n/a
4 - n/a
5 - met with team, went over project and requirements, discussed implementation details
6 - n/a
7 - filled out parts of SPPP</t>
  </si>
  <si>
    <t>Not yet</t>
  </si>
  <si>
    <t>1. Wrote 2 parts of SPPP, gave input to group on tech stack      2. created ReadMe file for our GitHub repo</t>
  </si>
  <si>
    <t>1. had to catch up since I missed last week</t>
  </si>
  <si>
    <t>1. caught up</t>
  </si>
  <si>
    <t xml:space="preserve">Individual Task Breakdown
0 - Course work 
1 - making sure that our project fully has capacity to meet all requirements
2 - set up database schema, decide what to call classes/objects
3 - set up github branches, start HTML/CSS skeleton, start infrastructure
4 - make sure that a blank homepage is deployable
5 - stay in communication with team
</t>
  </si>
  <si>
    <t>Individual Task Breakdown
0 - Modules 2, 3 from class
1 - Read over current project progress and added to notes
2 - Reviewed code infrastructure and class diagrams
3 - n/a
4 - n/a
5 - n/a
6 - reviewed github and jira
7 - n/a</t>
  </si>
  <si>
    <t>Individual Task Breakdown
0 - Module 3, 4 from class 
1 - reviewed current Github repo, feature development progress
5 - Discord, meetings with team, reviewed missed meeting minutes</t>
  </si>
  <si>
    <t>N/a</t>
  </si>
  <si>
    <t>Individual Task Breakdown
0 - Module 5 from class
5 - Discord, reviewed missed meeting minutes</t>
  </si>
  <si>
    <t>6/9/26-6/16/26</t>
  </si>
  <si>
    <t>Individual Task Breakdown
0 - reviewing course material and making final exam study guide 
3 - coded project dashboard feature
4 - added automated testing for feature branch 
5 - Discord, meeting with team, group debugging new feature branch
7- recorded final presentation and demo for iteration 3</t>
  </si>
  <si>
    <t xml:space="preserve">Used Google Gemini to help me review topics for the final and make a final study guide. I used it to clarify any questions I had and summarize topics. I found it helpful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</si>
</sst>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9">
    <font>
      <sz val="10.0"/>
      <color rgb="FF000000"/>
      <name val="Arial"/>
    </font>
    <font>
      <b/>
      <color rgb="FFFF0000"/>
      <name val="Arial"/>
    </font>
    <font>
      <b/>
      <name val="Arial"/>
    </font>
    <font>
      <b/>
    </font>
    <font>
      <b/>
      <color rgb="FFFF0000"/>
    </font>
    <font/>
    <font>
      <sz val="10.0"/>
      <name val="Arial"/>
    </font>
    <font>
      <u/>
      <sz val="10.0"/>
      <color rgb="FF0000FF"/>
      <name val="Arial"/>
    </font>
    <font>
      <u/>
      <sz val="10.0"/>
      <color rgb="FF0000FF"/>
      <name val="Arial"/>
    </font>
    <font>
      <color rgb="FFFF0000"/>
      <name val="Arial"/>
    </font>
    <font>
      <b/>
      <name val="Calibri"/>
    </font>
    <font>
      <name val="Arial"/>
    </font>
    <font>
      <u/>
      <color rgb="FF0000FF"/>
    </font>
    <font>
      <sz val="11.0"/>
    </font>
    <font>
      <b/>
      <sz val="11.0"/>
      <color rgb="FFFF0000"/>
      <name val="Arial"/>
    </font>
    <font>
      <b/>
      <sz val="10.0"/>
      <color rgb="FFFF0000"/>
      <name val="Arial"/>
    </font>
    <font>
      <sz val="10.0"/>
    </font>
    <font>
      <b/>
      <sz val="10.0"/>
      <name val="Arial"/>
    </font>
    <font>
      <b/>
      <sz val="10.0"/>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56">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Alignment="1" applyFont="1">
      <alignment shrinkToFit="0" wrapText="1"/>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xf>
    <xf borderId="0" fillId="0" fontId="6" numFmtId="0" xfId="0" applyAlignment="1" applyFont="1">
      <alignment readingOrder="0" shrinkToFit="0" wrapText="1"/>
    </xf>
    <xf borderId="0" fillId="0" fontId="0" numFmtId="164" xfId="0" applyAlignment="1" applyFont="1" applyNumberFormat="1">
      <alignment readingOrder="0"/>
    </xf>
    <xf borderId="0" fillId="0" fontId="8" numFmtId="0" xfId="0" applyAlignment="1" applyFont="1">
      <alignment readingOrder="0"/>
    </xf>
    <xf borderId="1" fillId="0" fontId="1" numFmtId="0" xfId="0" applyAlignment="1" applyBorder="1" applyFont="1">
      <alignment readingOrder="0" shrinkToFit="0" vertical="top" wrapText="1"/>
    </xf>
    <xf borderId="1" fillId="0" fontId="9" numFmtId="0" xfId="0" applyAlignment="1" applyBorder="1" applyFont="1">
      <alignment shrinkToFit="0" vertical="top" wrapText="1"/>
    </xf>
    <xf borderId="0" fillId="0" fontId="9"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1" fillId="0" fontId="10" numFmtId="0" xfId="0" applyAlignment="1" applyBorder="1" applyFont="1">
      <alignment shrinkToFit="0" vertical="bottom" wrapText="1"/>
    </xf>
    <xf borderId="0" fillId="0" fontId="11" numFmtId="0" xfId="0" applyAlignment="1" applyFont="1">
      <alignment shrinkToFit="0" vertical="bottom" wrapText="1"/>
    </xf>
    <xf borderId="0" fillId="0" fontId="12" numFmtId="0" xfId="0" applyAlignment="1" applyFont="1">
      <alignment readingOrder="0" shrinkToFit="0" wrapText="1"/>
    </xf>
    <xf borderId="0" fillId="0" fontId="13" numFmtId="0" xfId="0" applyAlignment="1" applyFont="1">
      <alignment readingOrder="0" shrinkToFit="0" wrapText="1"/>
    </xf>
    <xf borderId="0" fillId="2" fontId="1" numFmtId="0" xfId="0" applyAlignment="1" applyFill="1" applyFont="1">
      <alignment readingOrder="0" shrinkToFit="0" vertical="bottom" wrapText="0"/>
    </xf>
    <xf borderId="0" fillId="2" fontId="11" numFmtId="0" xfId="0" applyAlignment="1" applyFont="1">
      <alignment readingOrder="0" shrinkToFit="0" vertical="bottom"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xf borderId="0" fillId="2" fontId="14" numFmtId="0" xfId="0" applyAlignment="1" applyFont="1">
      <alignment readingOrder="0" shrinkToFit="0" vertical="bottom" wrapText="0"/>
    </xf>
    <xf borderId="0" fillId="2" fontId="15" numFmtId="0" xfId="0" applyAlignment="1" applyFont="1">
      <alignment readingOrder="0" shrinkToFit="0" vertical="bottom" wrapText="0"/>
    </xf>
    <xf borderId="0" fillId="2" fontId="6" numFmtId="0" xfId="0" applyAlignment="1" applyFont="1">
      <alignment readingOrder="0" shrinkToFit="0" vertical="bottom" wrapText="1"/>
    </xf>
    <xf borderId="0" fillId="0" fontId="6" numFmtId="0" xfId="0" applyAlignment="1" applyFont="1">
      <alignment shrinkToFit="0" vertical="bottom" wrapText="1"/>
    </xf>
    <xf borderId="0" fillId="0" fontId="6" numFmtId="0" xfId="0" applyAlignment="1" applyFont="1">
      <alignment readingOrder="0" shrinkToFit="0" vertical="bottom" wrapText="1"/>
    </xf>
    <xf borderId="0" fillId="0" fontId="16" numFmtId="0" xfId="0" applyAlignment="1" applyFont="1">
      <alignment readingOrder="0" shrinkToFit="0" wrapText="1"/>
    </xf>
    <xf borderId="0" fillId="0" fontId="17" numFmtId="0" xfId="0" applyAlignment="1" applyFont="1">
      <alignment readingOrder="0" shrinkToFit="0" vertical="bottom" wrapText="1"/>
    </xf>
    <xf borderId="0" fillId="0" fontId="17" numFmtId="0" xfId="0" applyAlignment="1" applyFont="1">
      <alignment shrinkToFit="0" vertical="bottom" wrapText="1"/>
    </xf>
    <xf borderId="0" fillId="0" fontId="18" numFmtId="0" xfId="0" applyAlignment="1" applyFont="1">
      <alignment readingOrder="0" shrinkToFit="0" wrapText="1"/>
    </xf>
    <xf borderId="2" fillId="0" fontId="17" numFmtId="0" xfId="0" applyAlignment="1" applyBorder="1" applyFont="1">
      <alignment readingOrder="0" shrinkToFit="0" vertical="bottom" wrapText="1"/>
    </xf>
    <xf borderId="0" fillId="2" fontId="16" numFmtId="0" xfId="0" applyAlignment="1" applyFont="1">
      <alignment readingOrder="0" shrinkToFit="0" wrapText="1"/>
    </xf>
    <xf borderId="0" fillId="2" fontId="16" numFmtId="0" xfId="0" applyAlignment="1" applyFont="1">
      <alignment shrinkToFit="0" wrapText="1"/>
    </xf>
    <xf borderId="0" fillId="0" fontId="16" numFmtId="0" xfId="0" applyAlignment="1" applyFont="1">
      <alignment readingOrder="0"/>
    </xf>
    <xf borderId="0" fillId="0" fontId="16" numFmtId="0" xfId="0" applyAlignment="1" applyFont="1">
      <alignment horizontal="left" readingOrder="0" shrinkToFit="0" wrapText="1"/>
    </xf>
    <xf borderId="0" fillId="0" fontId="16" numFmtId="49" xfId="0" applyAlignment="1" applyFont="1" applyNumberFormat="1">
      <alignment readingOrder="0" shrinkToFit="0" wrapText="1"/>
    </xf>
    <xf borderId="0" fillId="0" fontId="11" numFmtId="0" xfId="0" applyAlignment="1" applyFont="1">
      <alignment horizontal="right" vertical="bottom"/>
    </xf>
    <xf borderId="0" fillId="0" fontId="2" numFmtId="0" xfId="0" applyAlignment="1" applyFont="1">
      <alignment shrinkToFit="0" vertical="bottom" wrapText="1"/>
    </xf>
    <xf borderId="0" fillId="0" fontId="11" numFmtId="0" xfId="0" applyAlignment="1" applyFont="1">
      <alignment horizontal="right" shrinkToFit="0" vertical="bottom" wrapText="1"/>
    </xf>
    <xf borderId="0" fillId="0" fontId="11" numFmtId="0" xfId="0" applyAlignment="1" applyFont="1">
      <alignment vertical="bottom"/>
    </xf>
    <xf borderId="0" fillId="0" fontId="1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047750" cy="8096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VKMt0p_yyI6216RcDZxCCeUSgHodUdSk0It7359BfjA/edit?usp=sharing" TargetMode="External"/><Relationship Id="rId2" Type="http://schemas.openxmlformats.org/officeDocument/2006/relationships/hyperlink" Target="https://docs.google.com/document/d/1i1T6fzpv4SElWFe19nGgeJ8hZmWVH-r7q7C1jF9f8GE/edit?usp=sharing" TargetMode="External"/><Relationship Id="rId3" Type="http://schemas.openxmlformats.org/officeDocument/2006/relationships/hyperlink" Target="https://chatgpt.com/s/t_6a03f0633e088191bc75f1913c8789dd" TargetMode="External"/><Relationship Id="rId4" Type="http://schemas.openxmlformats.org/officeDocument/2006/relationships/hyperlink" Target="https://docs.google.com/document/d/1tJ3I1mX9pzt9-2bBYqwhYtitzlVqEQgMhQHcTTdoiJk/edit?usp=sharing" TargetMode="External"/><Relationship Id="rId5" Type="http://schemas.openxmlformats.org/officeDocument/2006/relationships/hyperlink" Target="http://speccheck_plan.md/" TargetMode="External"/><Relationship Id="rId6" Type="http://schemas.openxmlformats.org/officeDocument/2006/relationships/hyperlink" Target="https://www.figma.com/make/VluQL2XZtEo5HwY7V3W2pH/SpecCheck-Web-App-UI-Design?t=D0iCkP5I8inE92wr-20&amp;fullscreen=1"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readme.md/"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5"/>
    <col customWidth="1" min="3" max="3" width="33.5"/>
    <col customWidth="1" min="4" max="4" width="45.88"/>
    <col customWidth="1" min="5" max="5" width="49.38"/>
    <col customWidth="1" min="6" max="6" width="64.63"/>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1" t="s">
        <v>0</v>
      </c>
      <c r="B1" s="2"/>
      <c r="C1" s="3"/>
      <c r="D1" s="4"/>
      <c r="E1" s="4"/>
      <c r="F1" s="4"/>
      <c r="G1" s="3"/>
      <c r="H1" s="3"/>
      <c r="I1" s="3"/>
      <c r="J1" s="3"/>
      <c r="K1" s="3"/>
      <c r="L1" s="2"/>
      <c r="M1" s="2"/>
      <c r="N1" s="2"/>
      <c r="O1" s="5"/>
      <c r="P1" s="5"/>
      <c r="Q1" s="5"/>
      <c r="R1" s="5"/>
      <c r="S1" s="5"/>
      <c r="T1" s="5"/>
      <c r="U1" s="5"/>
      <c r="V1" s="6"/>
      <c r="W1" s="6"/>
      <c r="X1" s="6"/>
      <c r="Y1" s="6"/>
    </row>
    <row r="2" ht="30.0" customHeight="1">
      <c r="A2" s="1" t="s">
        <v>1</v>
      </c>
      <c r="B2" s="2"/>
      <c r="C2" s="3"/>
      <c r="D2" s="4"/>
      <c r="E2" s="4"/>
      <c r="F2" s="4"/>
      <c r="G2" s="3"/>
      <c r="H2" s="3"/>
      <c r="I2" s="3"/>
      <c r="J2" s="3"/>
      <c r="K2" s="3"/>
      <c r="L2" s="2"/>
      <c r="M2" s="2"/>
      <c r="N2" s="2"/>
      <c r="O2" s="5"/>
      <c r="P2" s="5"/>
      <c r="Q2" s="5"/>
      <c r="R2" s="5"/>
      <c r="S2" s="5"/>
      <c r="T2" s="5"/>
      <c r="U2" s="5"/>
      <c r="V2" s="6"/>
      <c r="W2" s="6"/>
      <c r="X2" s="6"/>
      <c r="Y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7" t="s">
        <v>23</v>
      </c>
      <c r="W3" s="6"/>
      <c r="X3" s="6"/>
      <c r="Y3" s="6"/>
    </row>
    <row r="4">
      <c r="A4" s="8">
        <v>0.0</v>
      </c>
      <c r="B4" s="9" t="s">
        <v>24</v>
      </c>
      <c r="C4" s="8" t="s">
        <v>25</v>
      </c>
      <c r="D4" s="8" t="s">
        <v>26</v>
      </c>
      <c r="E4" s="9" t="s">
        <v>27</v>
      </c>
      <c r="F4" s="9" t="s">
        <v>28</v>
      </c>
      <c r="N4" s="9">
        <v>4.0</v>
      </c>
      <c r="O4" s="9" t="s">
        <v>29</v>
      </c>
      <c r="P4" s="9" t="s">
        <v>29</v>
      </c>
      <c r="Q4" s="9" t="s">
        <v>29</v>
      </c>
      <c r="R4" s="9" t="s">
        <v>29</v>
      </c>
      <c r="S4" s="9" t="s">
        <v>29</v>
      </c>
      <c r="T4" s="9" t="s">
        <v>29</v>
      </c>
      <c r="U4" s="9" t="s">
        <v>29</v>
      </c>
      <c r="V4" s="9" t="s">
        <v>29</v>
      </c>
    </row>
    <row r="5">
      <c r="A5" s="8">
        <v>1.0</v>
      </c>
      <c r="B5" s="9" t="s">
        <v>30</v>
      </c>
      <c r="C5" s="8" t="s">
        <v>31</v>
      </c>
      <c r="D5" s="9" t="s">
        <v>32</v>
      </c>
      <c r="E5" s="9" t="s">
        <v>33</v>
      </c>
      <c r="F5" s="9" t="s">
        <v>34</v>
      </c>
      <c r="G5" s="9">
        <v>4.0</v>
      </c>
      <c r="H5" s="9">
        <v>8.0</v>
      </c>
      <c r="L5" s="9">
        <v>2.0</v>
      </c>
      <c r="N5" s="9">
        <v>2.4</v>
      </c>
      <c r="O5" s="9" t="s">
        <v>29</v>
      </c>
      <c r="P5" s="9" t="s">
        <v>29</v>
      </c>
      <c r="Q5" s="9" t="s">
        <v>29</v>
      </c>
      <c r="R5" s="9" t="s">
        <v>29</v>
      </c>
      <c r="S5" s="9" t="s">
        <v>29</v>
      </c>
      <c r="T5" s="9" t="s">
        <v>29</v>
      </c>
      <c r="U5" s="9" t="s">
        <v>29</v>
      </c>
      <c r="V5" s="9" t="s">
        <v>29</v>
      </c>
    </row>
    <row r="6">
      <c r="A6" s="8">
        <v>2.0</v>
      </c>
      <c r="B6" s="9" t="s">
        <v>35</v>
      </c>
      <c r="C6" s="8" t="s">
        <v>36</v>
      </c>
      <c r="D6" s="8" t="s">
        <v>37</v>
      </c>
      <c r="E6" s="8" t="s">
        <v>38</v>
      </c>
      <c r="F6" s="8" t="s">
        <v>39</v>
      </c>
      <c r="G6" s="9">
        <v>12.0</v>
      </c>
      <c r="H6" s="9">
        <v>6.0</v>
      </c>
      <c r="L6" s="9">
        <v>40.0</v>
      </c>
      <c r="N6" s="9">
        <v>2.0</v>
      </c>
      <c r="O6" s="9" t="s">
        <v>29</v>
      </c>
      <c r="P6" s="9" t="s">
        <v>29</v>
      </c>
      <c r="Q6" s="9" t="s">
        <v>29</v>
      </c>
      <c r="R6" s="9" t="s">
        <v>29</v>
      </c>
      <c r="S6" s="9" t="s">
        <v>29</v>
      </c>
      <c r="T6" s="9" t="s">
        <v>29</v>
      </c>
      <c r="U6" s="9" t="s">
        <v>29</v>
      </c>
      <c r="V6" s="9" t="s">
        <v>29</v>
      </c>
    </row>
    <row r="7">
      <c r="A7" s="8">
        <v>3.0</v>
      </c>
      <c r="B7" s="9" t="s">
        <v>40</v>
      </c>
      <c r="C7" s="8" t="s">
        <v>41</v>
      </c>
      <c r="D7" s="9" t="s">
        <v>42</v>
      </c>
      <c r="E7" s="9" t="s">
        <v>43</v>
      </c>
      <c r="F7" s="9" t="s">
        <v>44</v>
      </c>
      <c r="G7" s="9">
        <v>22.0</v>
      </c>
      <c r="H7" s="9">
        <v>0.0</v>
      </c>
      <c r="I7" s="9">
        <v>0.0</v>
      </c>
      <c r="K7" s="9" t="s">
        <v>29</v>
      </c>
      <c r="L7" s="9">
        <v>65.0</v>
      </c>
      <c r="N7" s="9">
        <v>4.0</v>
      </c>
      <c r="O7" s="9" t="s">
        <v>29</v>
      </c>
      <c r="P7" s="9" t="s">
        <v>29</v>
      </c>
      <c r="Q7" s="9" t="s">
        <v>29</v>
      </c>
      <c r="R7" s="9" t="s">
        <v>29</v>
      </c>
      <c r="S7" s="9" t="s">
        <v>29</v>
      </c>
      <c r="T7" s="9" t="s">
        <v>29</v>
      </c>
      <c r="U7" s="9" t="s">
        <v>29</v>
      </c>
      <c r="V7" s="9" t="s">
        <v>29</v>
      </c>
      <c r="Y7" s="9" t="s">
        <v>29</v>
      </c>
    </row>
    <row r="8">
      <c r="A8" s="8"/>
      <c r="B8" s="10"/>
      <c r="C8" s="10"/>
    </row>
    <row r="9">
      <c r="A9" s="8"/>
      <c r="B9" s="10"/>
      <c r="C9" s="10"/>
    </row>
    <row r="10">
      <c r="A10" s="10"/>
      <c r="B10" s="10"/>
      <c r="C10"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4" max="4" width="46.25"/>
    <col customWidth="1" min="6" max="6" width="44.25"/>
    <col customWidth="1" min="7" max="7" width="117.38"/>
  </cols>
  <sheetData>
    <row r="1">
      <c r="A1" s="11" t="s">
        <v>45</v>
      </c>
      <c r="B1" s="12"/>
      <c r="C1" s="12"/>
      <c r="D1" s="12"/>
      <c r="E1" s="12"/>
      <c r="F1" s="12"/>
      <c r="G1" s="12"/>
      <c r="H1" s="12"/>
      <c r="I1" s="12"/>
      <c r="J1" s="12"/>
      <c r="K1" s="12"/>
      <c r="L1" s="12"/>
      <c r="M1" s="12"/>
      <c r="N1" s="12"/>
      <c r="O1" s="12"/>
      <c r="P1" s="12"/>
      <c r="Q1" s="12"/>
      <c r="R1" s="12"/>
      <c r="S1" s="12"/>
      <c r="T1" s="12"/>
      <c r="U1" s="12"/>
      <c r="V1" s="12"/>
      <c r="W1" s="12"/>
      <c r="X1" s="12"/>
      <c r="Y1" s="12"/>
      <c r="Z1" s="12"/>
    </row>
    <row r="2">
      <c r="A2" s="12"/>
      <c r="B2" s="12"/>
      <c r="C2" s="12"/>
      <c r="D2" s="12"/>
      <c r="E2" s="12"/>
      <c r="F2" s="12"/>
      <c r="G2" s="12"/>
      <c r="H2" s="12"/>
      <c r="I2" s="12"/>
      <c r="J2" s="12"/>
      <c r="K2" s="12"/>
      <c r="L2" s="12"/>
      <c r="M2" s="12"/>
      <c r="N2" s="12"/>
      <c r="O2" s="12"/>
      <c r="P2" s="12"/>
      <c r="Q2" s="12"/>
      <c r="R2" s="12"/>
      <c r="S2" s="12"/>
      <c r="T2" s="12"/>
      <c r="U2" s="12"/>
      <c r="V2" s="12"/>
      <c r="W2" s="12"/>
      <c r="X2" s="12"/>
      <c r="Y2" s="12"/>
      <c r="Z2" s="12"/>
    </row>
    <row r="3" ht="58.5" customHeight="1">
      <c r="A3" s="11" t="s">
        <v>46</v>
      </c>
      <c r="B3" s="11" t="s">
        <v>47</v>
      </c>
      <c r="C3" s="11" t="s">
        <v>48</v>
      </c>
      <c r="D3" s="11" t="s">
        <v>49</v>
      </c>
      <c r="E3" s="11" t="s">
        <v>50</v>
      </c>
      <c r="F3" s="11" t="s">
        <v>51</v>
      </c>
      <c r="G3" s="11" t="s">
        <v>52</v>
      </c>
      <c r="H3" s="12"/>
      <c r="I3" s="12"/>
      <c r="J3" s="12"/>
      <c r="K3" s="12"/>
      <c r="L3" s="12"/>
      <c r="M3" s="12"/>
      <c r="N3" s="12"/>
      <c r="O3" s="12"/>
      <c r="P3" s="12"/>
      <c r="Q3" s="12"/>
      <c r="R3" s="12"/>
      <c r="S3" s="12"/>
      <c r="T3" s="12"/>
      <c r="U3" s="12"/>
      <c r="V3" s="12"/>
      <c r="W3" s="12"/>
      <c r="X3" s="12"/>
      <c r="Y3" s="12"/>
      <c r="Z3" s="12"/>
    </row>
    <row r="4">
      <c r="A4" s="11" t="s">
        <v>53</v>
      </c>
      <c r="B4" s="13">
        <v>46153.0</v>
      </c>
      <c r="C4" s="11" t="s">
        <v>54</v>
      </c>
      <c r="D4" s="11" t="s">
        <v>55</v>
      </c>
      <c r="E4" s="11" t="s">
        <v>56</v>
      </c>
      <c r="F4" s="11" t="s">
        <v>57</v>
      </c>
      <c r="G4" s="14" t="s">
        <v>58</v>
      </c>
      <c r="H4" s="12"/>
      <c r="I4" s="12"/>
      <c r="J4" s="12"/>
      <c r="K4" s="12"/>
      <c r="L4" s="12"/>
      <c r="M4" s="12"/>
      <c r="N4" s="12"/>
      <c r="O4" s="12"/>
      <c r="P4" s="12"/>
      <c r="Q4" s="12"/>
      <c r="R4" s="12"/>
      <c r="S4" s="12"/>
      <c r="T4" s="12"/>
      <c r="U4" s="12"/>
      <c r="V4" s="12"/>
      <c r="W4" s="12"/>
      <c r="X4" s="12"/>
      <c r="Y4" s="12"/>
      <c r="Z4" s="12"/>
    </row>
    <row r="5">
      <c r="A5" s="11" t="s">
        <v>59</v>
      </c>
      <c r="B5" s="13">
        <v>46153.0</v>
      </c>
      <c r="C5" s="11" t="s">
        <v>60</v>
      </c>
      <c r="D5" s="11" t="s">
        <v>61</v>
      </c>
      <c r="E5" s="11" t="s">
        <v>56</v>
      </c>
      <c r="F5" s="11" t="s">
        <v>62</v>
      </c>
      <c r="G5" s="14" t="s">
        <v>63</v>
      </c>
      <c r="H5" s="12"/>
      <c r="I5" s="12"/>
      <c r="J5" s="12"/>
      <c r="K5" s="12"/>
      <c r="L5" s="12"/>
      <c r="M5" s="12"/>
      <c r="N5" s="12"/>
      <c r="O5" s="12"/>
      <c r="P5" s="12"/>
      <c r="Q5" s="12"/>
      <c r="R5" s="12"/>
      <c r="S5" s="12"/>
      <c r="T5" s="12"/>
      <c r="U5" s="12"/>
      <c r="V5" s="12"/>
      <c r="W5" s="12"/>
      <c r="X5" s="12"/>
      <c r="Y5" s="12"/>
      <c r="Z5" s="12"/>
    </row>
    <row r="6">
      <c r="A6" s="11" t="s">
        <v>59</v>
      </c>
      <c r="B6" s="13">
        <v>46155.0</v>
      </c>
      <c r="C6" s="11" t="s">
        <v>60</v>
      </c>
      <c r="D6" s="11" t="s">
        <v>61</v>
      </c>
      <c r="E6" s="11" t="s">
        <v>56</v>
      </c>
      <c r="F6" s="11" t="s">
        <v>62</v>
      </c>
      <c r="G6" s="14" t="s">
        <v>64</v>
      </c>
      <c r="H6" s="12"/>
      <c r="I6" s="12"/>
      <c r="J6" s="12"/>
      <c r="K6" s="12"/>
      <c r="L6" s="12"/>
      <c r="M6" s="12"/>
      <c r="N6" s="12"/>
      <c r="O6" s="12"/>
      <c r="P6" s="12"/>
      <c r="Q6" s="12"/>
      <c r="R6" s="12"/>
      <c r="S6" s="12"/>
      <c r="T6" s="12"/>
      <c r="U6" s="12"/>
      <c r="V6" s="12"/>
      <c r="W6" s="12"/>
      <c r="X6" s="12"/>
      <c r="Y6" s="12"/>
      <c r="Z6" s="12"/>
    </row>
    <row r="7">
      <c r="A7" s="11" t="s">
        <v>65</v>
      </c>
      <c r="B7" s="13">
        <v>46153.0</v>
      </c>
      <c r="C7" s="11" t="s">
        <v>66</v>
      </c>
      <c r="D7" s="15" t="s">
        <v>67</v>
      </c>
      <c r="E7" s="11" t="s">
        <v>68</v>
      </c>
      <c r="F7" s="15" t="s">
        <v>69</v>
      </c>
      <c r="G7" s="14" t="s">
        <v>70</v>
      </c>
      <c r="H7" s="12"/>
      <c r="I7" s="12"/>
      <c r="J7" s="12"/>
      <c r="K7" s="12"/>
      <c r="L7" s="12"/>
      <c r="M7" s="12"/>
      <c r="N7" s="12"/>
      <c r="O7" s="12"/>
      <c r="P7" s="12"/>
      <c r="Q7" s="12"/>
      <c r="R7" s="12"/>
      <c r="S7" s="12"/>
      <c r="T7" s="12"/>
      <c r="U7" s="12"/>
      <c r="V7" s="12"/>
      <c r="W7" s="12"/>
      <c r="X7" s="12"/>
      <c r="Y7" s="12"/>
      <c r="Z7" s="12"/>
    </row>
    <row r="8">
      <c r="A8" s="11" t="s">
        <v>71</v>
      </c>
      <c r="B8" s="16">
        <v>46159.0</v>
      </c>
      <c r="C8" s="11" t="s">
        <v>60</v>
      </c>
      <c r="D8" s="11" t="s">
        <v>72</v>
      </c>
      <c r="E8" s="11" t="s">
        <v>68</v>
      </c>
      <c r="F8" s="11" t="s">
        <v>73</v>
      </c>
      <c r="G8" s="11" t="s">
        <v>74</v>
      </c>
      <c r="H8" s="12"/>
      <c r="I8" s="12"/>
      <c r="J8" s="12"/>
      <c r="K8" s="12"/>
      <c r="L8" s="12"/>
      <c r="M8" s="12"/>
      <c r="N8" s="12"/>
      <c r="O8" s="12"/>
      <c r="P8" s="12"/>
      <c r="Q8" s="12"/>
      <c r="R8" s="12"/>
      <c r="S8" s="12"/>
      <c r="T8" s="12"/>
      <c r="U8" s="12"/>
      <c r="V8" s="12"/>
      <c r="W8" s="12"/>
      <c r="X8" s="12"/>
      <c r="Y8" s="12"/>
      <c r="Z8" s="12"/>
    </row>
    <row r="9">
      <c r="A9" s="11" t="s">
        <v>71</v>
      </c>
      <c r="B9" s="13">
        <v>46163.0</v>
      </c>
      <c r="C9" s="11" t="s">
        <v>75</v>
      </c>
      <c r="D9" s="11" t="s">
        <v>76</v>
      </c>
      <c r="E9" s="11" t="s">
        <v>68</v>
      </c>
      <c r="F9" s="11" t="s">
        <v>77</v>
      </c>
      <c r="G9" s="11" t="s">
        <v>78</v>
      </c>
      <c r="H9" s="12"/>
      <c r="I9" s="12"/>
      <c r="J9" s="12"/>
      <c r="K9" s="12"/>
      <c r="L9" s="12"/>
      <c r="M9" s="12"/>
      <c r="N9" s="12"/>
      <c r="O9" s="12"/>
      <c r="P9" s="12"/>
      <c r="Q9" s="12"/>
      <c r="R9" s="12"/>
      <c r="S9" s="12"/>
      <c r="T9" s="12"/>
      <c r="U9" s="12"/>
      <c r="V9" s="12"/>
      <c r="W9" s="12"/>
      <c r="X9" s="12"/>
      <c r="Y9" s="12"/>
      <c r="Z9" s="12"/>
    </row>
    <row r="10">
      <c r="A10" s="11" t="s">
        <v>71</v>
      </c>
      <c r="B10" s="13">
        <v>46163.0</v>
      </c>
      <c r="C10" s="11" t="s">
        <v>75</v>
      </c>
      <c r="D10" s="17" t="s">
        <v>79</v>
      </c>
      <c r="E10" s="11" t="s">
        <v>56</v>
      </c>
      <c r="F10" s="11" t="s">
        <v>80</v>
      </c>
      <c r="G10" s="11" t="s">
        <v>81</v>
      </c>
      <c r="H10" s="12"/>
      <c r="I10" s="12"/>
      <c r="J10" s="12"/>
      <c r="K10" s="12"/>
      <c r="L10" s="12"/>
      <c r="M10" s="12"/>
      <c r="N10" s="12"/>
      <c r="O10" s="12"/>
      <c r="P10" s="12"/>
      <c r="Q10" s="12"/>
      <c r="R10" s="12"/>
      <c r="S10" s="12"/>
      <c r="T10" s="12"/>
      <c r="U10" s="12"/>
      <c r="V10" s="12"/>
      <c r="W10" s="12"/>
      <c r="X10" s="12"/>
      <c r="Y10" s="12"/>
      <c r="Z10" s="12"/>
    </row>
    <row r="11">
      <c r="A11" s="11" t="s">
        <v>71</v>
      </c>
      <c r="B11" s="13">
        <v>46166.0</v>
      </c>
      <c r="C11" s="11" t="s">
        <v>60</v>
      </c>
      <c r="D11" s="15" t="s">
        <v>82</v>
      </c>
      <c r="E11" s="11" t="s">
        <v>68</v>
      </c>
      <c r="F11" s="15" t="s">
        <v>83</v>
      </c>
      <c r="G11" s="11" t="s">
        <v>84</v>
      </c>
      <c r="H11" s="12"/>
      <c r="I11" s="12"/>
      <c r="J11" s="12"/>
      <c r="K11" s="12"/>
      <c r="L11" s="12"/>
      <c r="M11" s="12"/>
      <c r="N11" s="12"/>
      <c r="O11" s="12"/>
      <c r="P11" s="12"/>
      <c r="Q11" s="12"/>
      <c r="R11" s="12"/>
      <c r="S11" s="12"/>
      <c r="T11" s="12"/>
      <c r="U11" s="12"/>
      <c r="V11" s="12"/>
      <c r="W11" s="12"/>
      <c r="X11" s="12"/>
      <c r="Y11" s="12"/>
      <c r="Z11" s="12"/>
    </row>
    <row r="12">
      <c r="A12" s="11" t="s">
        <v>71</v>
      </c>
      <c r="B12" s="13">
        <v>46166.0</v>
      </c>
      <c r="C12" s="11" t="s">
        <v>85</v>
      </c>
      <c r="D12" s="15" t="s">
        <v>86</v>
      </c>
      <c r="E12" s="11" t="s">
        <v>56</v>
      </c>
      <c r="F12" s="15" t="s">
        <v>87</v>
      </c>
      <c r="G12" s="14" t="s">
        <v>88</v>
      </c>
      <c r="H12" s="12"/>
      <c r="I12" s="12"/>
      <c r="J12" s="12"/>
      <c r="K12" s="12"/>
      <c r="L12" s="12"/>
      <c r="M12" s="12"/>
      <c r="N12" s="12"/>
      <c r="O12" s="12"/>
      <c r="P12" s="12"/>
      <c r="Q12" s="12"/>
      <c r="R12" s="12"/>
      <c r="S12" s="12"/>
      <c r="T12" s="12"/>
      <c r="U12" s="12"/>
      <c r="V12" s="12"/>
      <c r="W12" s="12"/>
      <c r="X12" s="12"/>
      <c r="Y12" s="12"/>
      <c r="Z12" s="12"/>
    </row>
    <row r="13" ht="63.75" customHeight="1">
      <c r="A13" s="11" t="s">
        <v>71</v>
      </c>
      <c r="B13" s="13">
        <v>46166.0</v>
      </c>
      <c r="C13" s="11" t="s">
        <v>60</v>
      </c>
      <c r="D13" s="11" t="s">
        <v>89</v>
      </c>
      <c r="E13" s="11" t="s">
        <v>68</v>
      </c>
      <c r="F13" s="15" t="s">
        <v>90</v>
      </c>
      <c r="G13" s="11"/>
      <c r="H13" s="12"/>
      <c r="I13" s="12"/>
      <c r="J13" s="12"/>
      <c r="K13" s="12"/>
      <c r="L13" s="12"/>
      <c r="M13" s="12"/>
      <c r="N13" s="12"/>
      <c r="O13" s="12"/>
      <c r="P13" s="12"/>
      <c r="Q13" s="12"/>
      <c r="R13" s="12"/>
      <c r="S13" s="12"/>
      <c r="T13" s="12"/>
      <c r="U13" s="12"/>
      <c r="V13" s="12"/>
      <c r="W13" s="12"/>
      <c r="X13" s="12"/>
      <c r="Y13" s="12"/>
      <c r="Z13" s="12"/>
    </row>
    <row r="14">
      <c r="A14" s="11" t="s">
        <v>71</v>
      </c>
      <c r="B14" s="16">
        <v>46167.0</v>
      </c>
      <c r="C14" s="11" t="s">
        <v>60</v>
      </c>
      <c r="D14" s="11" t="s">
        <v>72</v>
      </c>
      <c r="E14" s="11" t="s">
        <v>68</v>
      </c>
      <c r="F14" s="11" t="s">
        <v>73</v>
      </c>
      <c r="G14" s="11" t="s">
        <v>91</v>
      </c>
      <c r="H14" s="12"/>
      <c r="I14" s="12"/>
      <c r="J14" s="12"/>
      <c r="K14" s="12"/>
      <c r="L14" s="12"/>
      <c r="M14" s="12"/>
      <c r="N14" s="12"/>
      <c r="O14" s="12"/>
      <c r="P14" s="12"/>
      <c r="Q14" s="12"/>
      <c r="R14" s="12"/>
      <c r="S14" s="12"/>
      <c r="T14" s="12"/>
      <c r="U14" s="12"/>
      <c r="V14" s="12"/>
      <c r="W14" s="12"/>
      <c r="X14" s="12"/>
      <c r="Y14" s="12"/>
      <c r="Z14" s="12"/>
    </row>
    <row r="15" ht="49.5" customHeight="1">
      <c r="A15" s="11" t="s">
        <v>92</v>
      </c>
      <c r="B15" s="13">
        <v>46164.0</v>
      </c>
      <c r="C15" s="11" t="s">
        <v>93</v>
      </c>
      <c r="D15" s="11" t="s">
        <v>94</v>
      </c>
      <c r="E15" s="11" t="s">
        <v>68</v>
      </c>
      <c r="F15" s="11" t="s">
        <v>95</v>
      </c>
      <c r="G15" s="11" t="s">
        <v>96</v>
      </c>
      <c r="H15" s="12"/>
      <c r="I15" s="12"/>
      <c r="J15" s="12"/>
      <c r="K15" s="12"/>
      <c r="L15" s="12"/>
      <c r="M15" s="12"/>
      <c r="N15" s="12"/>
      <c r="O15" s="12"/>
      <c r="P15" s="12"/>
      <c r="Q15" s="12"/>
      <c r="R15" s="12"/>
      <c r="S15" s="12"/>
      <c r="T15" s="12"/>
      <c r="U15" s="12"/>
      <c r="V15" s="12"/>
      <c r="W15" s="12"/>
      <c r="X15" s="12"/>
      <c r="Y15" s="12"/>
      <c r="Z15" s="12"/>
    </row>
    <row r="16">
      <c r="A16" s="11" t="s">
        <v>92</v>
      </c>
      <c r="B16" s="13">
        <v>46166.0</v>
      </c>
      <c r="C16" s="11" t="s">
        <v>97</v>
      </c>
      <c r="D16" s="11" t="s">
        <v>98</v>
      </c>
      <c r="E16" s="11" t="s">
        <v>56</v>
      </c>
      <c r="F16" s="11" t="s">
        <v>99</v>
      </c>
      <c r="G16" s="11" t="s">
        <v>100</v>
      </c>
      <c r="H16" s="12"/>
      <c r="I16" s="12"/>
      <c r="J16" s="12"/>
      <c r="K16" s="12"/>
      <c r="L16" s="12"/>
      <c r="M16" s="12"/>
      <c r="N16" s="12"/>
      <c r="O16" s="12"/>
      <c r="P16" s="12"/>
      <c r="Q16" s="12"/>
      <c r="R16" s="12"/>
      <c r="S16" s="12"/>
      <c r="T16" s="12"/>
      <c r="U16" s="12"/>
      <c r="V16" s="12"/>
      <c r="W16" s="12"/>
      <c r="X16" s="12"/>
      <c r="Y16" s="12"/>
      <c r="Z16" s="12"/>
    </row>
    <row r="17">
      <c r="A17" s="11" t="s">
        <v>101</v>
      </c>
      <c r="B17" s="15" t="s">
        <v>102</v>
      </c>
      <c r="C17" s="12"/>
      <c r="D17" s="15" t="s">
        <v>103</v>
      </c>
      <c r="E17" s="11" t="s">
        <v>68</v>
      </c>
      <c r="F17" s="11" t="s">
        <v>104</v>
      </c>
      <c r="G17" s="11" t="s">
        <v>105</v>
      </c>
      <c r="H17" s="12"/>
      <c r="I17" s="12"/>
      <c r="J17" s="12"/>
      <c r="K17" s="12"/>
      <c r="L17" s="12"/>
      <c r="M17" s="12"/>
      <c r="N17" s="12"/>
      <c r="O17" s="12"/>
      <c r="P17" s="12"/>
      <c r="Q17" s="12"/>
      <c r="R17" s="12"/>
      <c r="S17" s="12"/>
      <c r="T17" s="12"/>
      <c r="U17" s="12"/>
      <c r="V17" s="12"/>
      <c r="W17" s="12"/>
      <c r="X17" s="12"/>
      <c r="Y17" s="12"/>
      <c r="Z17" s="12"/>
    </row>
    <row r="18">
      <c r="A18" s="11" t="s">
        <v>101</v>
      </c>
      <c r="B18" s="15" t="s">
        <v>106</v>
      </c>
      <c r="C18" s="12"/>
      <c r="D18" s="11" t="s">
        <v>107</v>
      </c>
      <c r="E18" s="11" t="s">
        <v>68</v>
      </c>
      <c r="F18" s="15" t="s">
        <v>108</v>
      </c>
      <c r="G18" s="11" t="s">
        <v>109</v>
      </c>
      <c r="H18" s="12"/>
      <c r="I18" s="12"/>
      <c r="J18" s="12"/>
      <c r="K18" s="12"/>
      <c r="L18" s="12"/>
      <c r="M18" s="12"/>
      <c r="N18" s="12"/>
      <c r="O18" s="12"/>
      <c r="P18" s="12"/>
      <c r="Q18" s="12"/>
      <c r="R18" s="12"/>
      <c r="S18" s="12"/>
      <c r="T18" s="12"/>
      <c r="U18" s="12"/>
      <c r="V18" s="12"/>
      <c r="W18" s="12"/>
      <c r="X18" s="12"/>
      <c r="Y18" s="12"/>
      <c r="Z18" s="12"/>
    </row>
    <row r="19">
      <c r="A19" s="11" t="s">
        <v>101</v>
      </c>
      <c r="B19" s="15" t="s">
        <v>110</v>
      </c>
      <c r="C19" s="12"/>
      <c r="D19" s="11" t="s">
        <v>111</v>
      </c>
      <c r="E19" s="11" t="s">
        <v>56</v>
      </c>
      <c r="F19" s="11" t="s">
        <v>111</v>
      </c>
      <c r="G19" s="11" t="s">
        <v>112</v>
      </c>
      <c r="H19" s="12"/>
      <c r="I19" s="12"/>
      <c r="J19" s="12"/>
      <c r="K19" s="12"/>
      <c r="L19" s="12"/>
      <c r="M19" s="12"/>
      <c r="N19" s="12"/>
      <c r="O19" s="12"/>
      <c r="P19" s="12"/>
      <c r="Q19" s="12"/>
      <c r="R19" s="12"/>
      <c r="S19" s="12"/>
      <c r="T19" s="12"/>
      <c r="U19" s="12"/>
      <c r="V19" s="12"/>
      <c r="W19" s="12"/>
      <c r="X19" s="12"/>
      <c r="Y19" s="12"/>
      <c r="Z19" s="12"/>
    </row>
    <row r="20">
      <c r="A20" s="11" t="s">
        <v>101</v>
      </c>
      <c r="B20" s="15" t="s">
        <v>113</v>
      </c>
      <c r="C20" s="12"/>
      <c r="D20" s="11" t="s">
        <v>114</v>
      </c>
      <c r="E20" s="11" t="s">
        <v>56</v>
      </c>
      <c r="F20" s="11" t="s">
        <v>114</v>
      </c>
      <c r="G20" s="11" t="s">
        <v>115</v>
      </c>
      <c r="H20" s="12"/>
      <c r="I20" s="12"/>
      <c r="J20" s="12"/>
      <c r="K20" s="12"/>
      <c r="L20" s="12"/>
      <c r="M20" s="12"/>
      <c r="N20" s="12"/>
      <c r="O20" s="12"/>
      <c r="P20" s="12"/>
      <c r="Q20" s="12"/>
      <c r="R20" s="12"/>
      <c r="S20" s="12"/>
      <c r="T20" s="12"/>
      <c r="U20" s="12"/>
      <c r="V20" s="12"/>
      <c r="W20" s="12"/>
      <c r="X20" s="12"/>
      <c r="Y20" s="12"/>
      <c r="Z20" s="12"/>
    </row>
    <row r="21">
      <c r="A21" s="11" t="s">
        <v>101</v>
      </c>
      <c r="B21" s="15" t="s">
        <v>113</v>
      </c>
      <c r="C21" s="12"/>
      <c r="D21" s="11" t="s">
        <v>116</v>
      </c>
      <c r="E21" s="11" t="s">
        <v>56</v>
      </c>
      <c r="F21" s="11" t="s">
        <v>117</v>
      </c>
      <c r="G21" s="11" t="s">
        <v>118</v>
      </c>
      <c r="H21" s="12"/>
      <c r="I21" s="12"/>
      <c r="J21" s="12"/>
      <c r="K21" s="12"/>
      <c r="L21" s="12"/>
      <c r="M21" s="12"/>
      <c r="N21" s="12"/>
      <c r="O21" s="12"/>
      <c r="P21" s="12"/>
      <c r="Q21" s="12"/>
      <c r="R21" s="12"/>
      <c r="S21" s="12"/>
      <c r="T21" s="12"/>
      <c r="U21" s="12"/>
      <c r="V21" s="12"/>
      <c r="W21" s="12"/>
      <c r="X21" s="12"/>
      <c r="Y21" s="12"/>
      <c r="Z21" s="12"/>
    </row>
    <row r="22">
      <c r="A22" s="11" t="s">
        <v>101</v>
      </c>
      <c r="B22" s="15" t="s">
        <v>119</v>
      </c>
      <c r="C22" s="12"/>
      <c r="D22" s="11" t="s">
        <v>120</v>
      </c>
      <c r="E22" s="11" t="s">
        <v>56</v>
      </c>
      <c r="F22" s="11" t="s">
        <v>121</v>
      </c>
      <c r="G22" s="11" t="s">
        <v>122</v>
      </c>
      <c r="H22" s="12"/>
      <c r="I22" s="12"/>
      <c r="J22" s="12"/>
      <c r="K22" s="12"/>
      <c r="L22" s="12"/>
      <c r="M22" s="12"/>
      <c r="N22" s="12"/>
      <c r="O22" s="12"/>
      <c r="P22" s="12"/>
      <c r="Q22" s="12"/>
      <c r="R22" s="12"/>
      <c r="S22" s="12"/>
      <c r="T22" s="12"/>
      <c r="U22" s="12"/>
      <c r="V22" s="12"/>
      <c r="W22" s="12"/>
      <c r="X22" s="12"/>
      <c r="Y22" s="12"/>
      <c r="Z22" s="12"/>
    </row>
    <row r="23">
      <c r="A23" s="11" t="s">
        <v>71</v>
      </c>
      <c r="B23" s="16">
        <v>46170.0</v>
      </c>
      <c r="C23" s="11" t="s">
        <v>60</v>
      </c>
      <c r="D23" s="11" t="s">
        <v>72</v>
      </c>
      <c r="E23" s="11" t="s">
        <v>68</v>
      </c>
      <c r="F23" s="11" t="s">
        <v>73</v>
      </c>
      <c r="G23" s="11" t="s">
        <v>74</v>
      </c>
      <c r="H23" s="12"/>
      <c r="I23" s="12"/>
      <c r="J23" s="12"/>
      <c r="K23" s="12"/>
      <c r="L23" s="12"/>
      <c r="M23" s="12"/>
      <c r="N23" s="12"/>
      <c r="O23" s="12"/>
      <c r="P23" s="12"/>
      <c r="Q23" s="12"/>
      <c r="R23" s="12"/>
      <c r="S23" s="12"/>
      <c r="T23" s="12"/>
      <c r="U23" s="12"/>
      <c r="V23" s="12"/>
      <c r="W23" s="12"/>
      <c r="X23" s="12"/>
      <c r="Y23" s="12"/>
      <c r="Z23" s="12"/>
    </row>
    <row r="24">
      <c r="A24" s="11" t="s">
        <v>71</v>
      </c>
      <c r="B24" s="16">
        <v>46180.0</v>
      </c>
      <c r="C24" s="11" t="s">
        <v>60</v>
      </c>
      <c r="D24" s="11" t="s">
        <v>72</v>
      </c>
      <c r="E24" s="11" t="s">
        <v>68</v>
      </c>
      <c r="F24" s="11" t="s">
        <v>73</v>
      </c>
      <c r="G24" s="11" t="s">
        <v>74</v>
      </c>
      <c r="H24" s="12"/>
      <c r="I24" s="12"/>
      <c r="J24" s="12"/>
      <c r="K24" s="12"/>
      <c r="L24" s="12"/>
      <c r="M24" s="12"/>
      <c r="N24" s="12"/>
      <c r="O24" s="12"/>
      <c r="P24" s="12"/>
      <c r="Q24" s="12"/>
      <c r="R24" s="12"/>
      <c r="S24" s="12"/>
      <c r="T24" s="12"/>
      <c r="U24" s="12"/>
      <c r="V24" s="12"/>
      <c r="W24" s="12"/>
      <c r="X24" s="12"/>
      <c r="Y24" s="12"/>
      <c r="Z24" s="12"/>
    </row>
    <row r="25">
      <c r="A25" s="11" t="s">
        <v>71</v>
      </c>
      <c r="B25" s="16">
        <v>46187.0</v>
      </c>
      <c r="C25" s="11" t="s">
        <v>60</v>
      </c>
      <c r="D25" s="11" t="s">
        <v>72</v>
      </c>
      <c r="E25" s="11" t="s">
        <v>68</v>
      </c>
      <c r="F25" s="11" t="s">
        <v>73</v>
      </c>
      <c r="G25" s="11" t="s">
        <v>74</v>
      </c>
      <c r="H25" s="12"/>
      <c r="I25" s="12"/>
      <c r="J25" s="12"/>
      <c r="K25" s="12"/>
      <c r="L25" s="12"/>
      <c r="M25" s="12"/>
      <c r="N25" s="12"/>
      <c r="O25" s="12"/>
      <c r="P25" s="12"/>
      <c r="Q25" s="12"/>
      <c r="R25" s="12"/>
      <c r="S25" s="12"/>
      <c r="T25" s="12"/>
      <c r="U25" s="12"/>
      <c r="V25" s="12"/>
      <c r="W25" s="12"/>
      <c r="X25" s="12"/>
      <c r="Y25" s="12"/>
      <c r="Z25" s="12"/>
    </row>
    <row r="26">
      <c r="A26" s="11" t="s">
        <v>71</v>
      </c>
      <c r="B26" s="16">
        <v>46187.0</v>
      </c>
      <c r="C26" s="11" t="s">
        <v>123</v>
      </c>
      <c r="D26" s="11" t="s">
        <v>124</v>
      </c>
      <c r="E26" s="11" t="s">
        <v>68</v>
      </c>
      <c r="F26" s="11" t="s">
        <v>125</v>
      </c>
      <c r="G26" s="11" t="s">
        <v>126</v>
      </c>
      <c r="H26" s="12"/>
      <c r="I26" s="12"/>
      <c r="J26" s="12"/>
      <c r="K26" s="12"/>
      <c r="L26" s="12"/>
      <c r="M26" s="12"/>
      <c r="N26" s="12"/>
      <c r="O26" s="12"/>
      <c r="P26" s="12"/>
      <c r="Q26" s="12"/>
      <c r="R26" s="12"/>
      <c r="S26" s="12"/>
      <c r="T26" s="12"/>
      <c r="U26" s="12"/>
      <c r="V26" s="12"/>
      <c r="W26" s="12"/>
      <c r="X26" s="12"/>
      <c r="Y26" s="12"/>
      <c r="Z26" s="12"/>
    </row>
    <row r="27">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row r="1001">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row>
  </sheetData>
  <hyperlinks>
    <hyperlink r:id="rId1" ref="G4"/>
    <hyperlink r:id="rId2" ref="G5"/>
    <hyperlink r:id="rId3" ref="G6"/>
    <hyperlink r:id="rId4" ref="G7"/>
    <hyperlink r:id="rId5" ref="D10"/>
    <hyperlink r:id="rId6" ref="G12"/>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5"/>
    <col customWidth="1" min="3" max="3" width="28.13"/>
    <col customWidth="1" min="4" max="4" width="17.5"/>
    <col customWidth="1" min="5" max="5" width="21.0"/>
    <col customWidth="1" min="6" max="6" width="21.63"/>
    <col customWidth="1" min="7" max="7" width="29.88"/>
    <col customWidth="1" min="8" max="8" width="36.0"/>
    <col customWidth="1" min="9" max="9" width="22.25"/>
    <col customWidth="1" min="10" max="10" width="30.13"/>
    <col customWidth="1" min="11" max="11" width="42.38"/>
  </cols>
  <sheetData>
    <row r="1" ht="27.0" customHeight="1">
      <c r="A1" s="18" t="s">
        <v>127</v>
      </c>
      <c r="B1" s="19"/>
      <c r="C1" s="19"/>
      <c r="D1" s="19"/>
      <c r="E1" s="19"/>
      <c r="F1" s="19"/>
      <c r="G1" s="19"/>
      <c r="H1" s="19"/>
      <c r="I1" s="19"/>
      <c r="J1" s="19"/>
      <c r="K1" s="20"/>
      <c r="L1" s="20"/>
      <c r="M1" s="20"/>
      <c r="N1" s="20"/>
      <c r="O1" s="20"/>
      <c r="P1" s="20"/>
      <c r="Q1" s="20"/>
      <c r="R1" s="20"/>
      <c r="S1" s="20"/>
      <c r="T1" s="20"/>
      <c r="U1" s="20"/>
      <c r="V1" s="20"/>
      <c r="W1" s="20"/>
      <c r="X1" s="20"/>
      <c r="Y1" s="20"/>
      <c r="Z1" s="20"/>
    </row>
    <row r="2">
      <c r="A2" s="21" t="s">
        <v>128</v>
      </c>
      <c r="B2" s="22" t="s">
        <v>129</v>
      </c>
      <c r="C2" s="22" t="s">
        <v>130</v>
      </c>
      <c r="D2" s="22" t="s">
        <v>131</v>
      </c>
      <c r="E2" s="22" t="s">
        <v>132</v>
      </c>
      <c r="F2" s="22" t="s">
        <v>133</v>
      </c>
      <c r="G2" s="22" t="s">
        <v>134</v>
      </c>
      <c r="H2" s="22" t="s">
        <v>135</v>
      </c>
      <c r="I2" s="22" t="s">
        <v>136</v>
      </c>
      <c r="J2" s="22" t="s">
        <v>137</v>
      </c>
      <c r="K2" s="23" t="s">
        <v>138</v>
      </c>
      <c r="L2" s="24"/>
      <c r="M2" s="24"/>
      <c r="N2" s="24"/>
      <c r="O2" s="24"/>
      <c r="P2" s="24"/>
      <c r="Q2" s="24"/>
      <c r="R2" s="24"/>
      <c r="S2" s="24"/>
      <c r="T2" s="24"/>
      <c r="U2" s="24"/>
      <c r="V2" s="24"/>
      <c r="W2" s="24"/>
      <c r="X2" s="24"/>
      <c r="Y2" s="24"/>
      <c r="Z2" s="24"/>
    </row>
    <row r="3">
      <c r="A3" s="8" t="s">
        <v>71</v>
      </c>
      <c r="B3" s="8" t="s">
        <v>139</v>
      </c>
      <c r="C3" s="8" t="s">
        <v>140</v>
      </c>
      <c r="D3" s="8" t="s">
        <v>141</v>
      </c>
      <c r="E3" s="8" t="s">
        <v>142</v>
      </c>
      <c r="F3" s="8" t="s">
        <v>143</v>
      </c>
      <c r="G3" s="8" t="s">
        <v>144</v>
      </c>
      <c r="H3" s="8" t="s">
        <v>145</v>
      </c>
      <c r="I3" s="10"/>
      <c r="J3" s="8" t="s">
        <v>146</v>
      </c>
      <c r="K3" s="8" t="s">
        <v>147</v>
      </c>
      <c r="L3" s="10"/>
      <c r="M3" s="10"/>
      <c r="N3" s="10"/>
      <c r="O3" s="10"/>
      <c r="P3" s="10"/>
      <c r="Q3" s="10"/>
      <c r="R3" s="10"/>
      <c r="S3" s="10"/>
      <c r="T3" s="10"/>
      <c r="U3" s="10"/>
      <c r="V3" s="10"/>
      <c r="W3" s="10"/>
      <c r="X3" s="10"/>
      <c r="Y3" s="10"/>
      <c r="Z3" s="10"/>
    </row>
    <row r="4">
      <c r="A4" s="8" t="s">
        <v>101</v>
      </c>
      <c r="B4" s="8" t="s">
        <v>148</v>
      </c>
      <c r="C4" s="8" t="s">
        <v>149</v>
      </c>
      <c r="D4" s="8" t="s">
        <v>150</v>
      </c>
      <c r="E4" s="8" t="s">
        <v>151</v>
      </c>
      <c r="F4" s="8" t="s">
        <v>152</v>
      </c>
      <c r="G4" s="8" t="s">
        <v>153</v>
      </c>
      <c r="H4" s="8" t="s">
        <v>154</v>
      </c>
      <c r="I4" s="8" t="s">
        <v>155</v>
      </c>
      <c r="J4" s="8" t="s">
        <v>156</v>
      </c>
      <c r="K4" s="8" t="s">
        <v>157</v>
      </c>
      <c r="L4" s="10"/>
      <c r="M4" s="10"/>
      <c r="N4" s="10"/>
      <c r="O4" s="10"/>
      <c r="P4" s="10"/>
      <c r="Q4" s="10"/>
      <c r="R4" s="10"/>
      <c r="S4" s="10"/>
      <c r="T4" s="10"/>
      <c r="U4" s="10"/>
      <c r="V4" s="10"/>
      <c r="W4" s="10"/>
      <c r="X4" s="10"/>
      <c r="Y4" s="10"/>
      <c r="Z4" s="10"/>
    </row>
    <row r="5">
      <c r="A5" s="8" t="s">
        <v>92</v>
      </c>
      <c r="B5" s="8" t="s">
        <v>158</v>
      </c>
      <c r="C5" s="10"/>
      <c r="D5" s="10"/>
      <c r="E5" s="10"/>
      <c r="F5" s="10"/>
      <c r="G5" s="10"/>
      <c r="H5" s="10"/>
      <c r="I5" s="10"/>
      <c r="J5" s="10"/>
      <c r="K5" s="10"/>
      <c r="L5" s="10"/>
      <c r="M5" s="10"/>
      <c r="N5" s="10"/>
      <c r="O5" s="10"/>
      <c r="P5" s="10"/>
      <c r="Q5" s="10"/>
      <c r="R5" s="10"/>
      <c r="S5" s="10"/>
      <c r="T5" s="10"/>
      <c r="U5" s="10"/>
      <c r="V5" s="10"/>
      <c r="W5" s="10"/>
      <c r="X5" s="10"/>
      <c r="Y5" s="10"/>
      <c r="Z5" s="10"/>
    </row>
    <row r="6">
      <c r="A6" s="8" t="s">
        <v>159</v>
      </c>
      <c r="B6" s="8" t="s">
        <v>160</v>
      </c>
      <c r="C6" s="8" t="s">
        <v>161</v>
      </c>
      <c r="D6" s="8" t="s">
        <v>162</v>
      </c>
      <c r="E6" s="8" t="s">
        <v>163</v>
      </c>
      <c r="F6" s="10"/>
      <c r="G6" s="25" t="s">
        <v>164</v>
      </c>
      <c r="H6" s="8" t="s">
        <v>165</v>
      </c>
      <c r="I6" s="10"/>
      <c r="J6" s="8" t="s">
        <v>166</v>
      </c>
      <c r="K6" s="10"/>
      <c r="L6" s="10"/>
      <c r="M6" s="10"/>
      <c r="N6" s="10"/>
      <c r="O6" s="10"/>
      <c r="P6" s="10"/>
      <c r="Q6" s="10"/>
      <c r="R6" s="10"/>
      <c r="S6" s="10"/>
      <c r="T6" s="10"/>
      <c r="U6" s="10"/>
      <c r="V6" s="10"/>
      <c r="W6" s="10"/>
      <c r="X6" s="10"/>
      <c r="Y6" s="10"/>
      <c r="Z6" s="10"/>
    </row>
    <row r="7">
      <c r="A7" s="26" t="s">
        <v>92</v>
      </c>
      <c r="B7" s="26" t="s">
        <v>167</v>
      </c>
      <c r="C7" s="26" t="s">
        <v>168</v>
      </c>
      <c r="D7" s="26" t="s">
        <v>169</v>
      </c>
      <c r="E7" s="26" t="s">
        <v>170</v>
      </c>
      <c r="F7" s="26" t="s">
        <v>171</v>
      </c>
      <c r="G7" s="26" t="s">
        <v>172</v>
      </c>
      <c r="H7" s="10"/>
      <c r="I7" s="10"/>
      <c r="J7" s="26" t="s">
        <v>173</v>
      </c>
      <c r="K7" s="26" t="s">
        <v>174</v>
      </c>
      <c r="L7" s="10"/>
      <c r="M7" s="10"/>
      <c r="N7" s="10"/>
      <c r="O7" s="10"/>
      <c r="P7" s="10"/>
      <c r="Q7" s="10"/>
      <c r="R7" s="10"/>
      <c r="S7" s="10"/>
      <c r="T7" s="10"/>
      <c r="U7" s="10"/>
      <c r="V7" s="10"/>
      <c r="W7" s="10"/>
      <c r="X7" s="10"/>
      <c r="Y7" s="10"/>
      <c r="Z7" s="10"/>
    </row>
    <row r="8">
      <c r="A8" s="8"/>
      <c r="B8" s="8"/>
      <c r="C8" s="10"/>
      <c r="D8" s="8" t="s">
        <v>175</v>
      </c>
      <c r="E8" s="8" t="s">
        <v>176</v>
      </c>
      <c r="F8" s="10"/>
      <c r="G8" s="8" t="s">
        <v>177</v>
      </c>
      <c r="H8" s="8" t="s">
        <v>178</v>
      </c>
      <c r="I8" s="10"/>
      <c r="J8" s="8" t="s">
        <v>179</v>
      </c>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hyperlinks>
    <hyperlink r:id="rId1" ref="G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180</v>
      </c>
      <c r="B1" s="28"/>
      <c r="C1" s="28"/>
      <c r="D1" s="28"/>
      <c r="E1" s="28"/>
      <c r="F1" s="28"/>
      <c r="G1" s="29"/>
      <c r="H1" s="29"/>
      <c r="I1" s="29"/>
      <c r="J1" s="29"/>
      <c r="K1" s="29"/>
      <c r="L1" s="29"/>
      <c r="M1" s="30"/>
      <c r="N1" s="30"/>
      <c r="O1" s="30"/>
      <c r="P1" s="30"/>
      <c r="Q1" s="8"/>
      <c r="R1" s="8"/>
      <c r="S1" s="29"/>
      <c r="T1" s="29"/>
      <c r="U1" s="10"/>
      <c r="V1" s="10"/>
      <c r="W1" s="10"/>
    </row>
    <row r="2" ht="39.75" customHeight="1">
      <c r="A2" s="28" t="s">
        <v>181</v>
      </c>
      <c r="G2" s="29"/>
      <c r="H2" s="29"/>
      <c r="I2" s="29"/>
      <c r="J2" s="29"/>
      <c r="K2" s="29"/>
      <c r="L2" s="29"/>
      <c r="M2" s="30"/>
      <c r="N2" s="30"/>
      <c r="O2" s="30"/>
      <c r="P2" s="30"/>
      <c r="Q2" s="8"/>
      <c r="R2" s="8"/>
      <c r="S2" s="29"/>
      <c r="T2" s="29"/>
      <c r="U2" s="10"/>
      <c r="V2" s="10"/>
      <c r="W2" s="10"/>
    </row>
    <row r="3">
      <c r="A3" s="2" t="s">
        <v>182</v>
      </c>
      <c r="B3" s="2" t="s">
        <v>3</v>
      </c>
      <c r="C3" s="5" t="s">
        <v>183</v>
      </c>
      <c r="D3" s="5" t="s">
        <v>184</v>
      </c>
      <c r="E3" s="2" t="s">
        <v>185</v>
      </c>
      <c r="F3" s="2" t="s">
        <v>186</v>
      </c>
      <c r="G3" s="5" t="s">
        <v>16</v>
      </c>
      <c r="H3" s="5" t="s">
        <v>17</v>
      </c>
      <c r="I3" s="5" t="s">
        <v>18</v>
      </c>
      <c r="J3" s="5" t="s">
        <v>19</v>
      </c>
      <c r="K3" s="5" t="s">
        <v>20</v>
      </c>
      <c r="L3" s="5" t="s">
        <v>21</v>
      </c>
      <c r="M3" s="2" t="s">
        <v>22</v>
      </c>
      <c r="N3" s="2" t="s">
        <v>187</v>
      </c>
      <c r="O3" s="2" t="s">
        <v>188</v>
      </c>
      <c r="P3" s="2" t="s">
        <v>189</v>
      </c>
      <c r="Q3" s="3" t="s">
        <v>190</v>
      </c>
      <c r="R3" s="3" t="s">
        <v>191</v>
      </c>
      <c r="S3" s="5" t="s">
        <v>192</v>
      </c>
      <c r="T3" s="31" t="s">
        <v>193</v>
      </c>
      <c r="U3" s="32"/>
      <c r="V3" s="32"/>
      <c r="W3" s="32"/>
      <c r="X3" s="6"/>
      <c r="Y3" s="6"/>
      <c r="Z3" s="6"/>
      <c r="AA3" s="6"/>
    </row>
    <row r="4">
      <c r="A4" s="33">
        <v>1.0</v>
      </c>
      <c r="B4" s="33" t="s">
        <v>194</v>
      </c>
      <c r="C4" s="33">
        <f>D4+E4</f>
        <v>7</v>
      </c>
      <c r="D4" s="33">
        <f>sum(G4:N4)</f>
        <v>6</v>
      </c>
      <c r="E4" s="33">
        <v>1.0</v>
      </c>
      <c r="F4" s="33" t="s">
        <v>195</v>
      </c>
      <c r="G4" s="33">
        <v>3.0</v>
      </c>
      <c r="H4" s="33">
        <v>1.0</v>
      </c>
      <c r="I4" s="34"/>
      <c r="J4" s="34"/>
      <c r="K4" s="34"/>
      <c r="L4" s="33">
        <v>0.5</v>
      </c>
      <c r="M4" s="33">
        <v>1.0</v>
      </c>
      <c r="N4" s="33">
        <v>0.5</v>
      </c>
      <c r="O4" s="33" t="s">
        <v>196</v>
      </c>
      <c r="P4" s="33" t="s">
        <v>197</v>
      </c>
      <c r="Q4" s="33" t="s">
        <v>198</v>
      </c>
      <c r="R4" s="33" t="s">
        <v>199</v>
      </c>
      <c r="S4" s="33" t="s">
        <v>200</v>
      </c>
      <c r="T4" s="33">
        <v>6.0</v>
      </c>
      <c r="U4" s="10"/>
      <c r="V4" s="10"/>
      <c r="W4" s="34"/>
      <c r="X4" s="35"/>
      <c r="Y4" s="35"/>
      <c r="Z4" s="35"/>
      <c r="AA4" s="35"/>
    </row>
    <row r="5">
      <c r="G5" s="10"/>
      <c r="H5" s="10"/>
      <c r="I5" s="10"/>
      <c r="J5" s="10"/>
      <c r="K5" s="10"/>
      <c r="L5" s="10"/>
      <c r="M5" s="10"/>
      <c r="N5" s="10"/>
      <c r="O5" s="10"/>
      <c r="P5" s="10"/>
      <c r="Q5" s="10"/>
      <c r="R5" s="10"/>
      <c r="S5" s="10"/>
      <c r="T5" s="10"/>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9.38"/>
    <col customWidth="1" min="6" max="6" width="26.38"/>
    <col customWidth="1" min="7" max="7" width="4.5"/>
    <col customWidth="1" min="8" max="8" width="5.38"/>
    <col customWidth="1" min="9" max="9" width="7.25"/>
    <col customWidth="1" min="10" max="10" width="4.25"/>
    <col customWidth="1" min="11" max="11" width="4.75"/>
    <col customWidth="1" min="12" max="12" width="6.63"/>
    <col customWidth="1" min="13" max="13" width="4.88"/>
    <col customWidth="1" min="14" max="14" width="6.88"/>
    <col customWidth="1" min="15" max="15" width="24.38"/>
    <col customWidth="1" min="16" max="16" width="19.88"/>
    <col customWidth="1" min="17" max="17" width="17.63"/>
  </cols>
  <sheetData>
    <row r="1">
      <c r="A1" s="36"/>
      <c r="B1" s="28"/>
      <c r="C1" s="28"/>
      <c r="D1" s="28"/>
      <c r="E1" s="28"/>
      <c r="F1" s="28"/>
      <c r="G1" s="29"/>
      <c r="H1" s="29"/>
      <c r="I1" s="29"/>
      <c r="J1" s="29"/>
      <c r="K1" s="29"/>
      <c r="L1" s="29"/>
      <c r="M1" s="30"/>
      <c r="N1" s="30"/>
      <c r="O1" s="30"/>
      <c r="P1" s="30"/>
      <c r="Q1" s="8"/>
      <c r="R1" s="8"/>
      <c r="S1" s="29"/>
      <c r="T1" s="29"/>
      <c r="U1" s="10"/>
      <c r="V1" s="10"/>
      <c r="W1" s="10"/>
    </row>
    <row r="2" ht="39.75" customHeight="1">
      <c r="A2" s="28" t="s">
        <v>201</v>
      </c>
      <c r="G2" s="29"/>
      <c r="H2" s="29"/>
      <c r="I2" s="29"/>
      <c r="J2" s="29"/>
      <c r="K2" s="29"/>
      <c r="L2" s="29"/>
      <c r="M2" s="30"/>
      <c r="N2" s="30"/>
      <c r="O2" s="30"/>
      <c r="P2" s="30"/>
      <c r="Q2" s="8"/>
      <c r="R2" s="8"/>
      <c r="S2" s="29"/>
      <c r="T2" s="29"/>
      <c r="U2" s="10"/>
      <c r="V2" s="10"/>
      <c r="W2" s="10"/>
    </row>
    <row r="3">
      <c r="A3" s="2" t="s">
        <v>182</v>
      </c>
      <c r="B3" s="2" t="s">
        <v>3</v>
      </c>
      <c r="C3" s="5" t="s">
        <v>183</v>
      </c>
      <c r="D3" s="5" t="s">
        <v>184</v>
      </c>
      <c r="E3" s="2" t="s">
        <v>185</v>
      </c>
      <c r="F3" s="2" t="s">
        <v>186</v>
      </c>
      <c r="G3" s="5" t="s">
        <v>16</v>
      </c>
      <c r="H3" s="5" t="s">
        <v>17</v>
      </c>
      <c r="I3" s="5" t="s">
        <v>18</v>
      </c>
      <c r="J3" s="5" t="s">
        <v>19</v>
      </c>
      <c r="K3" s="5" t="s">
        <v>20</v>
      </c>
      <c r="L3" s="5" t="s">
        <v>21</v>
      </c>
      <c r="M3" s="2" t="s">
        <v>22</v>
      </c>
      <c r="N3" s="2" t="s">
        <v>187</v>
      </c>
      <c r="O3" s="2" t="s">
        <v>188</v>
      </c>
      <c r="P3" s="2" t="s">
        <v>189</v>
      </c>
      <c r="Q3" s="3" t="s">
        <v>190</v>
      </c>
      <c r="R3" s="3" t="s">
        <v>191</v>
      </c>
      <c r="S3" s="5" t="s">
        <v>192</v>
      </c>
      <c r="T3" s="31" t="s">
        <v>193</v>
      </c>
      <c r="U3" s="32"/>
      <c r="V3" s="32"/>
      <c r="W3" s="32"/>
      <c r="X3" s="6"/>
      <c r="Y3" s="6"/>
      <c r="Z3" s="6"/>
      <c r="AA3" s="6"/>
    </row>
    <row r="4">
      <c r="A4" s="9">
        <v>1.0</v>
      </c>
      <c r="B4" s="8" t="s">
        <v>202</v>
      </c>
      <c r="C4" s="9">
        <v>15.5</v>
      </c>
      <c r="D4" s="9">
        <v>10.0</v>
      </c>
      <c r="E4" s="9">
        <v>5.5</v>
      </c>
      <c r="F4" s="2" t="s">
        <v>203</v>
      </c>
      <c r="G4" s="9">
        <v>5.0</v>
      </c>
      <c r="H4" s="9">
        <v>1.0</v>
      </c>
      <c r="L4" s="9">
        <v>8.0</v>
      </c>
      <c r="M4" s="9">
        <v>0.5</v>
      </c>
      <c r="N4" s="9">
        <v>2.0</v>
      </c>
      <c r="O4" s="8" t="s">
        <v>204</v>
      </c>
      <c r="P4" s="25" t="s">
        <v>205</v>
      </c>
      <c r="Q4" s="8" t="s">
        <v>206</v>
      </c>
      <c r="R4" s="8" t="s">
        <v>207</v>
      </c>
      <c r="S4" s="9" t="s">
        <v>208</v>
      </c>
      <c r="T4" s="9">
        <v>15.0</v>
      </c>
    </row>
    <row r="5">
      <c r="A5" s="9">
        <v>2.0</v>
      </c>
      <c r="B5" s="8" t="s">
        <v>209</v>
      </c>
      <c r="C5" s="9">
        <v>20.0</v>
      </c>
      <c r="D5" s="9">
        <v>18.0</v>
      </c>
      <c r="E5" s="9">
        <v>2.0</v>
      </c>
      <c r="F5" s="2" t="s">
        <v>210</v>
      </c>
      <c r="G5" s="9">
        <v>4.0</v>
      </c>
      <c r="H5" s="9">
        <v>2.0</v>
      </c>
      <c r="I5" s="9">
        <v>6.0</v>
      </c>
      <c r="J5" s="9">
        <v>3.0</v>
      </c>
      <c r="K5" s="9">
        <v>2.0</v>
      </c>
      <c r="L5" s="9">
        <v>0.5</v>
      </c>
      <c r="M5" s="9">
        <v>1.0</v>
      </c>
      <c r="N5" s="9">
        <v>2.0</v>
      </c>
      <c r="O5" s="8" t="s">
        <v>211</v>
      </c>
      <c r="P5" s="8" t="s">
        <v>212</v>
      </c>
      <c r="Q5" s="8" t="s">
        <v>213</v>
      </c>
      <c r="R5" s="8" t="s">
        <v>214</v>
      </c>
      <c r="S5" s="9" t="s">
        <v>215</v>
      </c>
      <c r="T5" s="9">
        <v>15.0</v>
      </c>
    </row>
    <row r="6">
      <c r="A6" s="9">
        <v>3.0</v>
      </c>
      <c r="B6" s="9" t="s">
        <v>216</v>
      </c>
      <c r="C6" s="9">
        <v>20.0</v>
      </c>
      <c r="D6" s="9">
        <v>18.0</v>
      </c>
      <c r="E6" s="9">
        <v>4.0</v>
      </c>
      <c r="F6" s="2" t="s">
        <v>217</v>
      </c>
      <c r="G6" s="9">
        <v>0.5</v>
      </c>
      <c r="H6" s="9">
        <v>1.0</v>
      </c>
      <c r="I6" s="9">
        <v>2.0</v>
      </c>
      <c r="J6" s="9">
        <v>6.0</v>
      </c>
      <c r="K6" s="9">
        <v>6.0</v>
      </c>
      <c r="L6" s="9">
        <v>2.0</v>
      </c>
      <c r="M6" s="9">
        <v>3.0</v>
      </c>
      <c r="N6" s="9">
        <v>2.0</v>
      </c>
      <c r="O6" s="8" t="s">
        <v>218</v>
      </c>
      <c r="P6" s="8" t="s">
        <v>219</v>
      </c>
      <c r="Q6" s="8" t="s">
        <v>220</v>
      </c>
      <c r="R6" s="9" t="s">
        <v>221</v>
      </c>
      <c r="S6" s="9" t="s">
        <v>221</v>
      </c>
    </row>
    <row r="7">
      <c r="B7" s="9" t="s">
        <v>222</v>
      </c>
      <c r="C7" s="9">
        <v>31.5</v>
      </c>
      <c r="D7" s="9">
        <v>28.5</v>
      </c>
      <c r="E7" s="9">
        <v>3.0</v>
      </c>
      <c r="F7" s="2" t="s">
        <v>223</v>
      </c>
      <c r="G7" s="9">
        <v>5.0</v>
      </c>
      <c r="H7" s="9">
        <v>0.5</v>
      </c>
      <c r="I7" s="9">
        <v>1.0</v>
      </c>
      <c r="J7" s="9">
        <v>4.0</v>
      </c>
      <c r="K7" s="9">
        <v>5.0</v>
      </c>
      <c r="L7" s="9">
        <v>2.0</v>
      </c>
      <c r="M7" s="9">
        <v>3.0</v>
      </c>
      <c r="N7" s="9">
        <v>8.0</v>
      </c>
      <c r="O7" s="8" t="s">
        <v>224</v>
      </c>
      <c r="P7" s="8" t="s">
        <v>225</v>
      </c>
      <c r="Q7" s="8" t="s">
        <v>226</v>
      </c>
      <c r="R7" s="8" t="s">
        <v>227</v>
      </c>
      <c r="S7" s="8" t="s">
        <v>227</v>
      </c>
    </row>
  </sheetData>
  <mergeCells count="1">
    <mergeCell ref="A2:F2"/>
  </mergeCells>
  <hyperlinks>
    <hyperlink r:id="rId1" ref="P4"/>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3.38"/>
  </cols>
  <sheetData>
    <row r="1">
      <c r="A1" s="37" t="s">
        <v>180</v>
      </c>
      <c r="B1" s="38"/>
      <c r="C1" s="38"/>
      <c r="D1" s="38"/>
      <c r="E1" s="38"/>
      <c r="F1" s="38"/>
      <c r="G1" s="39"/>
      <c r="H1" s="39"/>
      <c r="I1" s="39"/>
      <c r="J1" s="39"/>
      <c r="K1" s="39"/>
      <c r="L1" s="39"/>
      <c r="M1" s="40"/>
      <c r="N1" s="40"/>
      <c r="O1" s="40"/>
      <c r="P1" s="40"/>
      <c r="Q1" s="41"/>
      <c r="R1" s="41"/>
      <c r="S1" s="39"/>
      <c r="T1" s="39"/>
    </row>
    <row r="2">
      <c r="A2" s="38" t="s">
        <v>228</v>
      </c>
      <c r="G2" s="39"/>
      <c r="H2" s="39"/>
      <c r="I2" s="39"/>
      <c r="J2" s="39"/>
      <c r="K2" s="39"/>
      <c r="L2" s="39"/>
      <c r="M2" s="40"/>
      <c r="N2" s="40"/>
      <c r="O2" s="40"/>
      <c r="P2" s="40"/>
      <c r="Q2" s="41"/>
      <c r="R2" s="41"/>
      <c r="S2" s="39"/>
      <c r="T2" s="39"/>
    </row>
    <row r="3">
      <c r="A3" s="42" t="s">
        <v>182</v>
      </c>
      <c r="B3" s="42" t="s">
        <v>3</v>
      </c>
      <c r="C3" s="43" t="s">
        <v>183</v>
      </c>
      <c r="D3" s="43" t="s">
        <v>184</v>
      </c>
      <c r="E3" s="42" t="s">
        <v>185</v>
      </c>
      <c r="F3" s="42" t="s">
        <v>186</v>
      </c>
      <c r="G3" s="43" t="s">
        <v>16</v>
      </c>
      <c r="H3" s="43" t="s">
        <v>17</v>
      </c>
      <c r="I3" s="43" t="s">
        <v>18</v>
      </c>
      <c r="J3" s="43" t="s">
        <v>19</v>
      </c>
      <c r="K3" s="43" t="s">
        <v>20</v>
      </c>
      <c r="L3" s="43" t="s">
        <v>21</v>
      </c>
      <c r="M3" s="42" t="s">
        <v>22</v>
      </c>
      <c r="N3" s="42" t="s">
        <v>187</v>
      </c>
      <c r="O3" s="42" t="s">
        <v>188</v>
      </c>
      <c r="P3" s="42" t="s">
        <v>189</v>
      </c>
      <c r="Q3" s="44" t="s">
        <v>190</v>
      </c>
      <c r="R3" s="44" t="s">
        <v>191</v>
      </c>
      <c r="S3" s="43" t="s">
        <v>192</v>
      </c>
      <c r="T3" s="45" t="s">
        <v>193</v>
      </c>
    </row>
    <row r="4">
      <c r="A4" s="46">
        <v>1.0</v>
      </c>
      <c r="B4" s="46" t="s">
        <v>194</v>
      </c>
      <c r="C4" s="46">
        <f>D4+E4</f>
        <v>7</v>
      </c>
      <c r="D4" s="46">
        <f>sum(G4:N4)</f>
        <v>6</v>
      </c>
      <c r="E4" s="46">
        <v>1.0</v>
      </c>
      <c r="F4" s="46" t="s">
        <v>195</v>
      </c>
      <c r="G4" s="46">
        <v>3.0</v>
      </c>
      <c r="H4" s="46">
        <v>1.0</v>
      </c>
      <c r="I4" s="47"/>
      <c r="J4" s="47"/>
      <c r="K4" s="47"/>
      <c r="L4" s="46">
        <v>0.5</v>
      </c>
      <c r="M4" s="46">
        <v>1.0</v>
      </c>
      <c r="N4" s="46">
        <v>0.5</v>
      </c>
      <c r="O4" s="46" t="s">
        <v>196</v>
      </c>
      <c r="P4" s="46" t="s">
        <v>197</v>
      </c>
      <c r="Q4" s="46" t="s">
        <v>198</v>
      </c>
      <c r="R4" s="46" t="s">
        <v>199</v>
      </c>
      <c r="S4" s="46" t="s">
        <v>200</v>
      </c>
      <c r="T4" s="46">
        <v>6.0</v>
      </c>
    </row>
    <row r="5">
      <c r="A5" s="48">
        <v>2.0</v>
      </c>
      <c r="B5" s="48" t="s">
        <v>229</v>
      </c>
      <c r="C5" s="48">
        <v>16.0</v>
      </c>
      <c r="D5" s="48">
        <v>10.0</v>
      </c>
      <c r="E5" s="48">
        <v>6.0</v>
      </c>
      <c r="F5" s="48" t="s">
        <v>230</v>
      </c>
      <c r="G5" s="41">
        <v>4.0</v>
      </c>
      <c r="H5" s="41">
        <v>1.0</v>
      </c>
      <c r="I5" s="41">
        <v>2.0</v>
      </c>
      <c r="J5" s="41">
        <v>3.0</v>
      </c>
      <c r="K5" s="41">
        <v>1.0</v>
      </c>
      <c r="L5" s="41">
        <v>3.0</v>
      </c>
      <c r="M5" s="41">
        <v>1.0</v>
      </c>
      <c r="N5" s="41">
        <v>1.0</v>
      </c>
      <c r="O5" s="41" t="s">
        <v>231</v>
      </c>
      <c r="P5" s="41" t="s">
        <v>232</v>
      </c>
      <c r="Q5" s="41" t="s">
        <v>233</v>
      </c>
      <c r="R5" s="41" t="s">
        <v>234</v>
      </c>
      <c r="S5" s="41" t="s">
        <v>235</v>
      </c>
      <c r="T5" s="41">
        <v>15.0</v>
      </c>
    </row>
    <row r="6">
      <c r="A6" s="48">
        <v>3.0</v>
      </c>
      <c r="B6" s="48" t="s">
        <v>236</v>
      </c>
      <c r="C6" s="48">
        <v>16.0</v>
      </c>
      <c r="D6" s="48">
        <v>12.0</v>
      </c>
      <c r="E6" s="48">
        <v>4.0</v>
      </c>
      <c r="F6" s="48" t="s">
        <v>237</v>
      </c>
      <c r="G6" s="41">
        <v>4.0</v>
      </c>
      <c r="H6" s="41">
        <v>1.0</v>
      </c>
      <c r="I6" s="41">
        <v>2.0</v>
      </c>
      <c r="J6" s="41">
        <v>3.0</v>
      </c>
      <c r="K6" s="41">
        <v>1.0</v>
      </c>
      <c r="L6" s="41">
        <v>3.0</v>
      </c>
      <c r="M6" s="41">
        <v>2.0</v>
      </c>
      <c r="N6" s="41">
        <v>0.0</v>
      </c>
      <c r="O6" s="41" t="s">
        <v>238</v>
      </c>
      <c r="P6" s="41" t="s">
        <v>239</v>
      </c>
      <c r="Q6" s="41" t="s">
        <v>240</v>
      </c>
      <c r="R6" s="41" t="s">
        <v>240</v>
      </c>
      <c r="S6" s="41" t="s">
        <v>241</v>
      </c>
      <c r="T6" s="41">
        <v>15.0</v>
      </c>
    </row>
    <row r="7">
      <c r="A7" s="48">
        <v>4.0</v>
      </c>
      <c r="B7" s="48" t="s">
        <v>242</v>
      </c>
      <c r="C7" s="48">
        <v>19.0</v>
      </c>
      <c r="D7" s="48">
        <v>15.0</v>
      </c>
      <c r="E7" s="48">
        <v>4.0</v>
      </c>
      <c r="F7" s="48" t="s">
        <v>243</v>
      </c>
      <c r="G7" s="41">
        <v>3.0</v>
      </c>
      <c r="H7" s="41">
        <v>1.5</v>
      </c>
      <c r="I7" s="41">
        <v>4.0</v>
      </c>
      <c r="J7" s="41">
        <v>4.0</v>
      </c>
      <c r="K7" s="41">
        <v>2.0</v>
      </c>
      <c r="L7" s="41">
        <v>3.0</v>
      </c>
      <c r="M7" s="41">
        <v>1.5</v>
      </c>
      <c r="N7" s="41">
        <v>0.0</v>
      </c>
      <c r="O7" s="41" t="s">
        <v>244</v>
      </c>
      <c r="P7" s="41" t="s">
        <v>245</v>
      </c>
      <c r="Q7" s="41" t="s">
        <v>246</v>
      </c>
      <c r="R7" s="41" t="s">
        <v>247</v>
      </c>
      <c r="S7" s="41" t="s">
        <v>248</v>
      </c>
      <c r="T7" s="41">
        <v>14.0</v>
      </c>
    </row>
    <row r="8">
      <c r="A8" s="48">
        <v>5.0</v>
      </c>
      <c r="B8" s="48" t="s">
        <v>249</v>
      </c>
      <c r="C8" s="48">
        <v>16.0</v>
      </c>
      <c r="D8" s="48">
        <v>14.0</v>
      </c>
      <c r="E8" s="48">
        <v>2.0</v>
      </c>
      <c r="F8" s="48" t="s">
        <v>250</v>
      </c>
      <c r="G8" s="41">
        <v>0.0</v>
      </c>
      <c r="H8" s="41">
        <v>0.0</v>
      </c>
      <c r="I8" s="41">
        <v>3.0</v>
      </c>
      <c r="J8" s="41">
        <v>7.0</v>
      </c>
      <c r="K8" s="41">
        <v>0.0</v>
      </c>
      <c r="L8" s="41">
        <v>2.0</v>
      </c>
      <c r="M8" s="41">
        <v>4.0</v>
      </c>
      <c r="N8" s="41">
        <v>0.0</v>
      </c>
      <c r="O8" s="41" t="s">
        <v>251</v>
      </c>
      <c r="P8" s="41" t="s">
        <v>252</v>
      </c>
      <c r="Q8" s="41" t="s">
        <v>253</v>
      </c>
      <c r="R8" s="41" t="s">
        <v>254</v>
      </c>
      <c r="S8" s="41" t="s">
        <v>255</v>
      </c>
      <c r="T8" s="41">
        <v>14.0</v>
      </c>
    </row>
    <row r="9">
      <c r="A9" s="48">
        <v>6.0</v>
      </c>
      <c r="B9" s="48" t="s">
        <v>256</v>
      </c>
      <c r="C9" s="48">
        <v>18.0</v>
      </c>
      <c r="D9" s="48">
        <v>16.0</v>
      </c>
      <c r="E9" s="48">
        <v>2.0</v>
      </c>
      <c r="F9" s="48" t="s">
        <v>257</v>
      </c>
      <c r="G9" s="41">
        <v>0.0</v>
      </c>
      <c r="H9" s="41">
        <v>0.0</v>
      </c>
      <c r="I9" s="41">
        <v>3.0</v>
      </c>
      <c r="J9" s="41">
        <v>7.0</v>
      </c>
      <c r="K9" s="41">
        <v>0.0</v>
      </c>
      <c r="L9" s="41">
        <v>2.0</v>
      </c>
      <c r="M9" s="41">
        <v>3.0</v>
      </c>
      <c r="N9" s="41">
        <v>3.0</v>
      </c>
      <c r="O9" s="41" t="s">
        <v>258</v>
      </c>
      <c r="P9" s="41" t="s">
        <v>259</v>
      </c>
      <c r="Q9" s="41" t="s">
        <v>260</v>
      </c>
      <c r="R9" s="41" t="s">
        <v>261</v>
      </c>
      <c r="S9" s="41" t="s">
        <v>262</v>
      </c>
      <c r="T9" s="41">
        <v>16.0</v>
      </c>
    </row>
    <row r="10">
      <c r="A10" s="48">
        <v>6.0</v>
      </c>
      <c r="B10" s="48" t="s">
        <v>263</v>
      </c>
      <c r="C10" s="48">
        <v>20.0</v>
      </c>
      <c r="D10" s="48">
        <v>17.0</v>
      </c>
      <c r="E10" s="48">
        <v>3.0</v>
      </c>
      <c r="F10" s="49" t="s">
        <v>264</v>
      </c>
      <c r="G10" s="41">
        <v>1.0</v>
      </c>
      <c r="H10" s="41">
        <v>2.0</v>
      </c>
      <c r="I10" s="41">
        <v>3.0</v>
      </c>
      <c r="J10" s="41">
        <v>8.0</v>
      </c>
      <c r="K10" s="41">
        <v>2.0</v>
      </c>
      <c r="L10" s="41">
        <v>3.0</v>
      </c>
      <c r="M10" s="41">
        <v>1.0</v>
      </c>
      <c r="N10" s="41">
        <v>0.0</v>
      </c>
      <c r="O10" s="41" t="s">
        <v>265</v>
      </c>
      <c r="P10" s="50" t="s">
        <v>266</v>
      </c>
      <c r="Q10" s="41" t="s">
        <v>267</v>
      </c>
      <c r="R10" s="41" t="s">
        <v>268</v>
      </c>
      <c r="S10" s="41" t="s">
        <v>269</v>
      </c>
      <c r="T10" s="41">
        <v>18.0</v>
      </c>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38"/>
    <col customWidth="1" min="3" max="3" width="7.25"/>
    <col customWidth="1" min="4" max="4" width="8.38"/>
    <col customWidth="1" min="5" max="5" width="7.13"/>
    <col customWidth="1" min="6" max="6" width="66.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180</v>
      </c>
      <c r="B1" s="28"/>
      <c r="C1" s="28"/>
      <c r="D1" s="28"/>
      <c r="E1" s="28"/>
      <c r="F1" s="28"/>
      <c r="G1" s="29"/>
      <c r="H1" s="29"/>
      <c r="I1" s="29"/>
      <c r="J1" s="29"/>
      <c r="K1" s="29"/>
      <c r="L1" s="29"/>
      <c r="M1" s="30"/>
      <c r="N1" s="30"/>
      <c r="O1" s="30"/>
      <c r="P1" s="30"/>
      <c r="Q1" s="8"/>
      <c r="R1" s="8"/>
      <c r="S1" s="29"/>
      <c r="T1" s="29"/>
      <c r="U1" s="10"/>
      <c r="V1" s="10"/>
      <c r="W1" s="10"/>
    </row>
    <row r="2" ht="39.75" customHeight="1">
      <c r="A2" s="28" t="s">
        <v>270</v>
      </c>
      <c r="G2" s="29"/>
      <c r="H2" s="29"/>
      <c r="I2" s="29"/>
      <c r="J2" s="29"/>
      <c r="K2" s="29"/>
      <c r="L2" s="29"/>
      <c r="M2" s="30"/>
      <c r="N2" s="30"/>
      <c r="O2" s="30"/>
      <c r="P2" s="30"/>
      <c r="Q2" s="8"/>
      <c r="R2" s="8"/>
      <c r="S2" s="29"/>
      <c r="T2" s="29"/>
      <c r="U2" s="10"/>
      <c r="V2" s="10"/>
      <c r="W2" s="10"/>
    </row>
    <row r="3">
      <c r="A3" s="2" t="s">
        <v>182</v>
      </c>
      <c r="B3" s="2" t="s">
        <v>3</v>
      </c>
      <c r="C3" s="5" t="s">
        <v>183</v>
      </c>
      <c r="D3" s="5" t="s">
        <v>184</v>
      </c>
      <c r="E3" s="2" t="s">
        <v>185</v>
      </c>
      <c r="F3" s="2" t="s">
        <v>186</v>
      </c>
      <c r="G3" s="5" t="s">
        <v>16</v>
      </c>
      <c r="H3" s="5" t="s">
        <v>17</v>
      </c>
      <c r="I3" s="5" t="s">
        <v>18</v>
      </c>
      <c r="J3" s="5" t="s">
        <v>19</v>
      </c>
      <c r="K3" s="5" t="s">
        <v>20</v>
      </c>
      <c r="L3" s="5" t="s">
        <v>21</v>
      </c>
      <c r="M3" s="2" t="s">
        <v>22</v>
      </c>
      <c r="N3" s="2" t="s">
        <v>187</v>
      </c>
      <c r="O3" s="2" t="s">
        <v>188</v>
      </c>
      <c r="P3" s="2" t="s">
        <v>189</v>
      </c>
      <c r="Q3" s="3" t="s">
        <v>190</v>
      </c>
      <c r="R3" s="3" t="s">
        <v>191</v>
      </c>
      <c r="S3" s="5" t="s">
        <v>192</v>
      </c>
      <c r="T3" s="31" t="s">
        <v>193</v>
      </c>
      <c r="U3" s="32"/>
      <c r="V3" s="32"/>
      <c r="W3" s="32"/>
      <c r="X3" s="32"/>
      <c r="Y3" s="32"/>
      <c r="Z3" s="32"/>
      <c r="AA3" s="32"/>
    </row>
    <row r="4">
      <c r="A4" s="8">
        <v>1.0</v>
      </c>
      <c r="B4" s="8" t="s">
        <v>271</v>
      </c>
      <c r="C4" s="8">
        <v>10.0</v>
      </c>
      <c r="D4" s="8">
        <v>4.0</v>
      </c>
      <c r="E4" s="8">
        <v>6.0</v>
      </c>
      <c r="F4" s="8" t="s">
        <v>272</v>
      </c>
      <c r="G4" s="8">
        <v>2.5</v>
      </c>
      <c r="H4" s="8">
        <v>3.5</v>
      </c>
      <c r="I4" s="10"/>
      <c r="J4" s="10"/>
      <c r="K4" s="10"/>
      <c r="L4" s="8">
        <v>2.5</v>
      </c>
      <c r="M4" s="10"/>
      <c r="N4" s="8">
        <v>1.5</v>
      </c>
      <c r="O4" s="8" t="s">
        <v>273</v>
      </c>
      <c r="P4" s="8" t="s">
        <v>274</v>
      </c>
      <c r="Q4" s="8" t="s">
        <v>275</v>
      </c>
      <c r="R4" s="8" t="s">
        <v>276</v>
      </c>
      <c r="S4" s="8">
        <v>10.0</v>
      </c>
      <c r="T4" s="8">
        <v>7.0</v>
      </c>
      <c r="U4" s="10"/>
      <c r="V4" s="10"/>
      <c r="W4" s="10"/>
      <c r="X4" s="10"/>
      <c r="Y4" s="10"/>
      <c r="Z4" s="10"/>
      <c r="AA4" s="10"/>
    </row>
    <row r="5">
      <c r="A5" s="8">
        <v>2.0</v>
      </c>
      <c r="B5" s="8" t="s">
        <v>236</v>
      </c>
      <c r="C5" s="8">
        <v>7.0</v>
      </c>
      <c r="D5" s="8">
        <v>3.0</v>
      </c>
      <c r="E5" s="8">
        <v>4.0</v>
      </c>
      <c r="F5" s="8" t="s">
        <v>277</v>
      </c>
      <c r="G5" s="10"/>
      <c r="H5" s="8">
        <v>4.5</v>
      </c>
      <c r="I5" s="10"/>
      <c r="J5" s="10"/>
      <c r="K5" s="10"/>
      <c r="L5" s="8">
        <v>0.5</v>
      </c>
      <c r="M5" s="8">
        <v>0.5</v>
      </c>
      <c r="N5" s="8">
        <v>1.5</v>
      </c>
      <c r="O5" s="8" t="s">
        <v>278</v>
      </c>
      <c r="P5" s="8" t="s">
        <v>279</v>
      </c>
      <c r="Q5" s="8" t="s">
        <v>280</v>
      </c>
      <c r="R5" s="8" t="s">
        <v>281</v>
      </c>
      <c r="S5" s="8">
        <v>15.0</v>
      </c>
      <c r="T5" s="8">
        <v>11.5</v>
      </c>
      <c r="U5" s="10"/>
      <c r="V5" s="10"/>
      <c r="W5" s="10"/>
      <c r="X5" s="10"/>
      <c r="Y5" s="10"/>
      <c r="Z5" s="10"/>
      <c r="AA5" s="10"/>
    </row>
    <row r="6">
      <c r="A6" s="8">
        <v>3.0</v>
      </c>
      <c r="B6" s="8" t="s">
        <v>242</v>
      </c>
      <c r="C6" s="8">
        <v>11.5</v>
      </c>
      <c r="D6" s="8">
        <v>8.5</v>
      </c>
      <c r="E6" s="8">
        <v>3.0</v>
      </c>
      <c r="F6" s="8" t="s">
        <v>282</v>
      </c>
      <c r="G6" s="8">
        <v>2.0</v>
      </c>
      <c r="H6" s="8">
        <v>1.0</v>
      </c>
      <c r="I6" s="8">
        <v>0.5</v>
      </c>
      <c r="J6" s="8">
        <v>4.0</v>
      </c>
      <c r="K6" s="8">
        <v>1.0</v>
      </c>
      <c r="L6" s="8">
        <v>1.5</v>
      </c>
      <c r="M6" s="10"/>
      <c r="N6" s="8">
        <v>1.5</v>
      </c>
      <c r="O6" s="8" t="s">
        <v>283</v>
      </c>
      <c r="P6" s="8" t="s">
        <v>284</v>
      </c>
      <c r="Q6" s="8" t="s">
        <v>285</v>
      </c>
      <c r="R6" s="8" t="s">
        <v>286</v>
      </c>
      <c r="S6" s="8">
        <v>10.0</v>
      </c>
      <c r="T6" s="8">
        <v>9.5</v>
      </c>
      <c r="U6" s="10"/>
      <c r="V6" s="10"/>
      <c r="W6" s="10"/>
      <c r="X6" s="10"/>
      <c r="Y6" s="10"/>
      <c r="Z6" s="10"/>
      <c r="AA6" s="10"/>
    </row>
    <row r="7">
      <c r="A7" s="8">
        <v>4.0</v>
      </c>
      <c r="B7" s="8" t="s">
        <v>249</v>
      </c>
      <c r="C7" s="8">
        <v>9.5</v>
      </c>
      <c r="D7" s="8">
        <v>6.5</v>
      </c>
      <c r="E7" s="8">
        <v>3.0</v>
      </c>
      <c r="F7" s="8" t="s">
        <v>287</v>
      </c>
      <c r="G7" s="9">
        <v>3.0</v>
      </c>
      <c r="H7" s="8">
        <v>1.0</v>
      </c>
      <c r="I7" s="8">
        <v>0.0</v>
      </c>
      <c r="J7" s="8">
        <v>0.0</v>
      </c>
      <c r="K7" s="8">
        <v>3.0</v>
      </c>
      <c r="L7" s="8">
        <v>1.5</v>
      </c>
      <c r="M7" s="10"/>
      <c r="N7" s="8">
        <v>1.0</v>
      </c>
      <c r="O7" s="8" t="s">
        <v>288</v>
      </c>
      <c r="P7" s="8" t="s">
        <v>289</v>
      </c>
      <c r="Q7" s="8" t="s">
        <v>290</v>
      </c>
      <c r="R7" s="8" t="s">
        <v>291</v>
      </c>
      <c r="S7" s="8">
        <v>11.0</v>
      </c>
      <c r="T7" s="8">
        <v>8.0</v>
      </c>
      <c r="U7" s="10"/>
      <c r="V7" s="10"/>
      <c r="W7" s="10"/>
      <c r="X7" s="10"/>
      <c r="Y7" s="10"/>
      <c r="Z7" s="10"/>
      <c r="AA7" s="10"/>
    </row>
    <row r="8">
      <c r="A8" s="8">
        <v>5.0</v>
      </c>
      <c r="B8" s="8" t="s">
        <v>292</v>
      </c>
      <c r="C8" s="8">
        <v>8.0</v>
      </c>
      <c r="D8" s="8">
        <v>5.0</v>
      </c>
      <c r="E8" s="8">
        <v>3.0</v>
      </c>
      <c r="F8" s="8" t="s">
        <v>293</v>
      </c>
      <c r="G8" s="8">
        <v>3.0</v>
      </c>
      <c r="H8" s="8">
        <v>1.0</v>
      </c>
      <c r="I8" s="10"/>
      <c r="J8" s="10"/>
      <c r="K8" s="8">
        <v>2.0</v>
      </c>
      <c r="L8" s="8">
        <v>1.0</v>
      </c>
      <c r="M8" s="10"/>
      <c r="N8" s="8">
        <v>1.0</v>
      </c>
      <c r="O8" s="8" t="s">
        <v>294</v>
      </c>
      <c r="P8" s="8" t="s">
        <v>295</v>
      </c>
      <c r="Q8" s="8" t="s">
        <v>296</v>
      </c>
      <c r="R8" s="8" t="s">
        <v>297</v>
      </c>
      <c r="S8" s="8">
        <v>13.0</v>
      </c>
      <c r="T8" s="8">
        <v>17.0</v>
      </c>
      <c r="U8" s="10"/>
      <c r="V8" s="10"/>
      <c r="W8" s="10"/>
      <c r="X8" s="10"/>
      <c r="Y8" s="10"/>
      <c r="Z8" s="10"/>
      <c r="AA8" s="10"/>
    </row>
    <row r="9">
      <c r="A9" s="8">
        <v>6.0</v>
      </c>
      <c r="B9" s="8" t="s">
        <v>263</v>
      </c>
      <c r="C9" s="8">
        <v>17.0</v>
      </c>
      <c r="D9" s="8">
        <v>15.0</v>
      </c>
      <c r="E9" s="8">
        <v>3.0</v>
      </c>
      <c r="F9" s="8" t="s">
        <v>298</v>
      </c>
      <c r="G9" s="8">
        <v>4.0</v>
      </c>
      <c r="H9" s="8">
        <v>1.0</v>
      </c>
      <c r="I9" s="10"/>
      <c r="J9" s="8">
        <v>6.0</v>
      </c>
      <c r="K9" s="8">
        <v>2.0</v>
      </c>
      <c r="L9" s="8">
        <v>2.0</v>
      </c>
      <c r="M9" s="10"/>
      <c r="N9" s="8">
        <v>3.0</v>
      </c>
      <c r="O9" s="8" t="s">
        <v>299</v>
      </c>
      <c r="P9" s="8" t="s">
        <v>300</v>
      </c>
      <c r="Q9" s="8" t="s">
        <v>301</v>
      </c>
      <c r="R9" s="8" t="s">
        <v>302</v>
      </c>
      <c r="S9" s="8" t="s">
        <v>303</v>
      </c>
      <c r="T9" s="8" t="s">
        <v>303</v>
      </c>
      <c r="U9" s="10"/>
      <c r="V9" s="10"/>
      <c r="W9" s="10"/>
      <c r="X9" s="10"/>
      <c r="Y9" s="10"/>
      <c r="Z9" s="10"/>
      <c r="AA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7" t="s">
        <v>180</v>
      </c>
      <c r="B1" s="28"/>
      <c r="C1" s="28"/>
      <c r="D1" s="28"/>
      <c r="E1" s="28"/>
      <c r="F1" s="28"/>
      <c r="G1" s="29"/>
      <c r="H1" s="29"/>
      <c r="I1" s="29"/>
      <c r="J1" s="29"/>
      <c r="K1" s="29"/>
      <c r="L1" s="29"/>
      <c r="M1" s="30"/>
      <c r="N1" s="30"/>
      <c r="O1" s="30"/>
      <c r="P1" s="30"/>
      <c r="Q1" s="8"/>
      <c r="R1" s="8"/>
      <c r="S1" s="29"/>
      <c r="T1" s="29"/>
      <c r="U1" s="10"/>
      <c r="V1" s="10"/>
      <c r="W1" s="10"/>
    </row>
    <row r="2" ht="39.75" customHeight="1">
      <c r="A2" s="28" t="s">
        <v>304</v>
      </c>
      <c r="G2" s="29"/>
      <c r="H2" s="29"/>
      <c r="I2" s="29"/>
      <c r="J2" s="29"/>
      <c r="K2" s="29"/>
      <c r="L2" s="29"/>
      <c r="M2" s="30"/>
      <c r="N2" s="30"/>
      <c r="O2" s="30"/>
      <c r="P2" s="30"/>
      <c r="Q2" s="8"/>
      <c r="R2" s="8"/>
      <c r="S2" s="29"/>
      <c r="T2" s="29"/>
      <c r="U2" s="10"/>
      <c r="V2" s="10"/>
      <c r="W2" s="10"/>
    </row>
    <row r="3">
      <c r="A3" s="2" t="s">
        <v>182</v>
      </c>
      <c r="B3" s="2" t="s">
        <v>3</v>
      </c>
      <c r="C3" s="5" t="s">
        <v>183</v>
      </c>
      <c r="D3" s="5" t="s">
        <v>184</v>
      </c>
      <c r="E3" s="2" t="s">
        <v>185</v>
      </c>
      <c r="F3" s="2" t="s">
        <v>186</v>
      </c>
      <c r="G3" s="5" t="s">
        <v>16</v>
      </c>
      <c r="H3" s="5" t="s">
        <v>17</v>
      </c>
      <c r="I3" s="5" t="s">
        <v>18</v>
      </c>
      <c r="J3" s="5" t="s">
        <v>19</v>
      </c>
      <c r="K3" s="5" t="s">
        <v>20</v>
      </c>
      <c r="L3" s="5" t="s">
        <v>21</v>
      </c>
      <c r="M3" s="2" t="s">
        <v>22</v>
      </c>
      <c r="N3" s="2" t="s">
        <v>187</v>
      </c>
      <c r="O3" s="2" t="s">
        <v>188</v>
      </c>
      <c r="P3" s="2" t="s">
        <v>189</v>
      </c>
      <c r="Q3" s="3" t="s">
        <v>190</v>
      </c>
      <c r="R3" s="3" t="s">
        <v>191</v>
      </c>
      <c r="S3" s="5" t="s">
        <v>192</v>
      </c>
      <c r="T3" s="31" t="s">
        <v>193</v>
      </c>
      <c r="U3" s="32"/>
      <c r="V3" s="32"/>
      <c r="W3" s="32"/>
      <c r="X3" s="6"/>
      <c r="Y3" s="6"/>
      <c r="Z3" s="6"/>
      <c r="AA3" s="6"/>
    </row>
    <row r="4">
      <c r="A4" s="33">
        <v>1.0</v>
      </c>
      <c r="B4" s="33" t="s">
        <v>194</v>
      </c>
      <c r="C4" s="33">
        <f>D4+E4</f>
        <v>7</v>
      </c>
      <c r="D4" s="33">
        <f>sum(G4:N4)</f>
        <v>6</v>
      </c>
      <c r="E4" s="33">
        <v>1.0</v>
      </c>
      <c r="F4" s="33" t="s">
        <v>195</v>
      </c>
      <c r="G4" s="33">
        <v>3.0</v>
      </c>
      <c r="H4" s="33">
        <v>1.0</v>
      </c>
      <c r="I4" s="34"/>
      <c r="J4" s="34"/>
      <c r="K4" s="34"/>
      <c r="L4" s="33">
        <v>0.5</v>
      </c>
      <c r="M4" s="33">
        <v>1.0</v>
      </c>
      <c r="N4" s="33">
        <v>0.5</v>
      </c>
      <c r="O4" s="33" t="s">
        <v>196</v>
      </c>
      <c r="P4" s="33" t="s">
        <v>197</v>
      </c>
      <c r="Q4" s="33" t="s">
        <v>198</v>
      </c>
      <c r="R4" s="33" t="s">
        <v>199</v>
      </c>
      <c r="S4" s="33" t="s">
        <v>200</v>
      </c>
      <c r="T4" s="33">
        <v>6.0</v>
      </c>
      <c r="U4" s="10"/>
      <c r="V4" s="10"/>
      <c r="W4" s="34"/>
      <c r="X4" s="35"/>
      <c r="Y4" s="35"/>
      <c r="Z4" s="35"/>
      <c r="AA4" s="35"/>
    </row>
    <row r="5">
      <c r="A5" s="9">
        <v>1.0</v>
      </c>
      <c r="B5" s="9" t="s">
        <v>271</v>
      </c>
      <c r="D5" s="9">
        <v>0.0</v>
      </c>
      <c r="E5" s="9">
        <v>0.0</v>
      </c>
      <c r="F5" s="2" t="s">
        <v>186</v>
      </c>
      <c r="G5" s="8"/>
      <c r="H5" s="8"/>
      <c r="I5" s="8"/>
      <c r="J5" s="10"/>
      <c r="K5" s="10"/>
      <c r="L5" s="8"/>
      <c r="M5" s="10"/>
      <c r="N5" s="8"/>
      <c r="O5" s="8"/>
      <c r="P5" s="8"/>
      <c r="Q5" s="8"/>
      <c r="R5" s="8"/>
      <c r="S5" s="2"/>
      <c r="T5" s="10"/>
      <c r="U5" s="10"/>
      <c r="V5" s="10"/>
      <c r="W5" s="10"/>
    </row>
    <row r="6">
      <c r="A6" s="9">
        <v>2.0</v>
      </c>
      <c r="B6" s="9" t="s">
        <v>236</v>
      </c>
      <c r="D6" s="51">
        <v>6.0</v>
      </c>
      <c r="E6" s="51">
        <v>1.0</v>
      </c>
      <c r="F6" s="52" t="s">
        <v>305</v>
      </c>
      <c r="G6" s="53">
        <v>4.0</v>
      </c>
      <c r="H6" s="53">
        <v>2.0</v>
      </c>
      <c r="I6" s="53">
        <v>1.0</v>
      </c>
      <c r="J6" s="54"/>
      <c r="K6" s="54"/>
      <c r="L6" s="53">
        <v>1.0</v>
      </c>
      <c r="M6" s="54"/>
      <c r="N6" s="53">
        <v>1.0</v>
      </c>
      <c r="O6" s="55" t="s">
        <v>306</v>
      </c>
      <c r="P6" s="55" t="s">
        <v>307</v>
      </c>
      <c r="Q6" s="55" t="s">
        <v>308</v>
      </c>
      <c r="R6" s="55" t="s">
        <v>309</v>
      </c>
      <c r="S6" s="5" t="s">
        <v>310</v>
      </c>
      <c r="T6" s="54"/>
      <c r="U6" s="54"/>
      <c r="V6" s="10"/>
      <c r="W6" s="10"/>
    </row>
    <row r="7">
      <c r="A7" s="9">
        <v>3.0</v>
      </c>
      <c r="B7" s="9" t="s">
        <v>242</v>
      </c>
      <c r="D7" s="9">
        <v>6.0</v>
      </c>
      <c r="E7" s="9">
        <v>0.0</v>
      </c>
      <c r="F7" s="2" t="s">
        <v>311</v>
      </c>
      <c r="G7" s="8">
        <v>3.0</v>
      </c>
      <c r="H7" s="8">
        <v>1.0</v>
      </c>
      <c r="I7" s="8">
        <v>1.0</v>
      </c>
      <c r="J7" s="10"/>
      <c r="K7" s="10"/>
      <c r="L7" s="10"/>
      <c r="M7" s="8">
        <v>1.0</v>
      </c>
      <c r="N7" s="10"/>
      <c r="O7" s="8" t="s">
        <v>303</v>
      </c>
      <c r="P7" s="8"/>
      <c r="Q7" s="10"/>
      <c r="R7" s="10"/>
      <c r="S7" s="10"/>
      <c r="T7" s="10"/>
      <c r="U7" s="10"/>
      <c r="V7" s="10"/>
      <c r="W7" s="10"/>
    </row>
    <row r="8">
      <c r="A8" s="9">
        <v>4.0</v>
      </c>
      <c r="B8" s="9" t="s">
        <v>249</v>
      </c>
      <c r="D8" s="9">
        <v>6.0</v>
      </c>
      <c r="E8" s="9">
        <v>1.0</v>
      </c>
      <c r="F8" s="2" t="s">
        <v>312</v>
      </c>
      <c r="G8" s="8">
        <v>3.0</v>
      </c>
      <c r="H8" s="8">
        <v>2.0</v>
      </c>
      <c r="I8" s="10"/>
      <c r="J8" s="10"/>
      <c r="K8" s="10"/>
      <c r="L8" s="8">
        <v>1.0</v>
      </c>
      <c r="M8" s="10"/>
      <c r="N8" s="10"/>
      <c r="O8" s="8" t="s">
        <v>313</v>
      </c>
      <c r="P8" s="10"/>
      <c r="Q8" s="10"/>
      <c r="R8" s="10"/>
      <c r="S8" s="10"/>
      <c r="T8" s="10"/>
      <c r="U8" s="10"/>
      <c r="V8" s="10"/>
      <c r="W8" s="10"/>
    </row>
    <row r="9">
      <c r="A9" s="9">
        <v>5.0</v>
      </c>
      <c r="B9" s="9" t="s">
        <v>256</v>
      </c>
      <c r="D9" s="9">
        <v>3.0</v>
      </c>
      <c r="E9" s="9">
        <v>0.0</v>
      </c>
      <c r="F9" s="2" t="s">
        <v>314</v>
      </c>
      <c r="G9" s="8">
        <v>2.0</v>
      </c>
      <c r="H9" s="10"/>
      <c r="I9" s="10"/>
      <c r="J9" s="10"/>
      <c r="K9" s="10"/>
      <c r="L9" s="8">
        <v>1.0</v>
      </c>
      <c r="M9" s="10"/>
      <c r="N9" s="10"/>
      <c r="O9" s="8" t="s">
        <v>313</v>
      </c>
      <c r="P9" s="10"/>
      <c r="Q9" s="10"/>
      <c r="R9" s="10"/>
      <c r="S9" s="10"/>
      <c r="T9" s="10"/>
      <c r="U9" s="10"/>
      <c r="V9" s="10"/>
      <c r="W9" s="10"/>
    </row>
    <row r="10">
      <c r="A10" s="9">
        <v>6.0</v>
      </c>
      <c r="B10" s="9" t="s">
        <v>315</v>
      </c>
      <c r="D10" s="9">
        <v>13.0</v>
      </c>
      <c r="E10" s="9">
        <v>1.0</v>
      </c>
      <c r="F10" s="2" t="s">
        <v>316</v>
      </c>
      <c r="G10" s="8">
        <v>5.0</v>
      </c>
      <c r="H10" s="10"/>
      <c r="I10" s="10"/>
      <c r="J10" s="8">
        <v>2.0</v>
      </c>
      <c r="K10" s="8">
        <v>1.0</v>
      </c>
      <c r="L10" s="8">
        <v>3.0</v>
      </c>
      <c r="M10" s="8">
        <v>2.0</v>
      </c>
      <c r="N10" s="10"/>
      <c r="O10" s="8" t="s">
        <v>317</v>
      </c>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